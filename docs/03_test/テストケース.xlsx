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fullness\Documents\"/>
    </mc:Choice>
  </mc:AlternateContent>
  <xr:revisionPtr revIDLastSave="0" documentId="13_ncr:1_{AFDC8827-D7C9-45C6-98EF-B9FBE89154DA}" xr6:coauthVersionLast="47" xr6:coauthVersionMax="47" xr10:uidLastSave="{00000000-0000-0000-0000-000000000000}"/>
  <bookViews>
    <workbookView xWindow="-110" yWindow="-110" windowWidth="19420" windowHeight="10300" firstSheet="4" activeTab="10" xr2:uid="{D7DCF90A-0743-406F-9305-971C2C0FD5B1}"/>
  </bookViews>
  <sheets>
    <sheet name="Sheet2" sheetId="2" r:id="rId1"/>
    <sheet name="Sheet3" sheetId="3" r:id="rId2"/>
    <sheet name="プロジェクトのスケジュール" sheetId="4" r:id="rId3"/>
    <sheet name="社員一覧" sheetId="5" r:id="rId4"/>
    <sheet name="社員登録" sheetId="6" r:id="rId5"/>
    <sheet name="社員更新" sheetId="7" r:id="rId6"/>
    <sheet name="社員削除" sheetId="8" r:id="rId7"/>
    <sheet name="部門一覧" sheetId="9" r:id="rId8"/>
    <sheet name="部門登録" sheetId="10" r:id="rId9"/>
    <sheet name="部門更新" sheetId="11" r:id="rId10"/>
    <sheet name="部門削除" sheetId="12" r:id="rId11"/>
  </sheets>
  <definedNames>
    <definedName name="_xlnm.Print_Titles" localSheetId="2">プロジェクトのスケジュール!$1:$3</definedName>
    <definedName name="タスク_開始" localSheetId="2">プロジェクトのスケジュール!$C1</definedName>
    <definedName name="タスク_終了" localSheetId="2">プロジェクトのスケジュール!$F1</definedName>
    <definedName name="タスク_進捗状況" localSheetId="2">プロジェクトのスケジュール!#REF!</definedName>
    <definedName name="プロジェクトの開始">プロジェクトのスケジュール!#REF!</definedName>
    <definedName name="今日" localSheetId="2">TODAY()</definedName>
    <definedName name="週表示">プロジェクトのスケジュール!$C$1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60" i="4" l="1"/>
  <c r="H41" i="4"/>
  <c r="H29" i="4"/>
  <c r="H28" i="4"/>
  <c r="H27" i="4"/>
  <c r="H26" i="4"/>
  <c r="H25" i="4"/>
  <c r="H24" i="4"/>
  <c r="H18" i="4"/>
  <c r="H12" i="4"/>
  <c r="H5" i="4"/>
  <c r="H4" i="4"/>
  <c r="BG2" i="4"/>
  <c r="BH2" i="4" s="1"/>
  <c r="BI2" i="4" s="1"/>
  <c r="BJ2" i="4" s="1"/>
  <c r="BK2" i="4" s="1"/>
  <c r="BL2" i="4" s="1"/>
  <c r="AZ2" i="4"/>
  <c r="BA2" i="4" s="1"/>
  <c r="BB2" i="4" s="1"/>
  <c r="BC2" i="4" s="1"/>
  <c r="BD2" i="4" s="1"/>
  <c r="BE2" i="4" s="1"/>
  <c r="AS2" i="4"/>
  <c r="AT2" i="4" s="1"/>
  <c r="AU2" i="4" s="1"/>
  <c r="AV2" i="4" s="1"/>
  <c r="AW2" i="4" s="1"/>
  <c r="AX2" i="4" s="1"/>
  <c r="AL2" i="4"/>
  <c r="AM2" i="4" s="1"/>
  <c r="AN2" i="4" s="1"/>
  <c r="AO2" i="4" s="1"/>
  <c r="AP2" i="4" s="1"/>
  <c r="AQ2" i="4" s="1"/>
  <c r="AE2" i="4"/>
  <c r="AF2" i="4" s="1"/>
  <c r="AG2" i="4" s="1"/>
  <c r="AH2" i="4" s="1"/>
  <c r="AI2" i="4" s="1"/>
  <c r="AJ2" i="4" s="1"/>
  <c r="X2" i="4"/>
  <c r="Y2" i="4" s="1"/>
  <c r="Z2" i="4" s="1"/>
  <c r="AA2" i="4" s="1"/>
  <c r="AB2" i="4" s="1"/>
  <c r="AC2" i="4" s="1"/>
  <c r="Q2" i="4"/>
  <c r="R2" i="4" s="1"/>
  <c r="S2" i="4" s="1"/>
  <c r="T2" i="4" s="1"/>
  <c r="U2" i="4" s="1"/>
  <c r="V2" i="4" s="1"/>
  <c r="J2" i="4"/>
  <c r="K2" i="4" s="1"/>
  <c r="L2" i="4" s="1"/>
  <c r="M2" i="4" s="1"/>
  <c r="N2" i="4" s="1"/>
  <c r="O2" i="4" s="1"/>
  <c r="C19" i="4" l="1"/>
  <c r="F6" i="4"/>
  <c r="F7" i="4" l="1"/>
  <c r="H6" i="4"/>
  <c r="F19" i="4"/>
  <c r="C20" i="4" s="1"/>
  <c r="H7" i="4" l="1"/>
  <c r="H19" i="4"/>
  <c r="C13" i="4"/>
  <c r="F11" i="4"/>
  <c r="H11" i="4" s="1"/>
  <c r="F8" i="4"/>
  <c r="C21" i="4"/>
  <c r="F20" i="4"/>
  <c r="H20" i="4" s="1"/>
  <c r="H8" i="4" l="1"/>
  <c r="F9" i="4"/>
  <c r="H9" i="4" s="1"/>
  <c r="F13" i="4"/>
  <c r="H13" i="4" s="1"/>
  <c r="C14" i="4"/>
  <c r="F21" i="4"/>
  <c r="C22" i="4" s="1"/>
  <c r="C23" i="4"/>
  <c r="H21" i="4" l="1"/>
  <c r="F23" i="4"/>
  <c r="H23" i="4" s="1"/>
  <c r="F14" i="4"/>
  <c r="C15" i="4" s="1"/>
  <c r="F22" i="4"/>
  <c r="H22" i="4" s="1"/>
  <c r="F15" i="4" l="1"/>
  <c r="H15" i="4" s="1"/>
  <c r="C16" i="4"/>
  <c r="H14" i="4"/>
  <c r="F16" i="4" l="1"/>
  <c r="H16" i="4" s="1"/>
  <c r="C17" i="4"/>
  <c r="F17" i="4" l="1"/>
  <c r="H17" i="4" s="1"/>
</calcChain>
</file>

<file path=xl/sharedStrings.xml><?xml version="1.0" encoding="utf-8"?>
<sst xmlns="http://schemas.openxmlformats.org/spreadsheetml/2006/main" count="560" uniqueCount="159">
  <si>
    <t>テストケース</t>
  </si>
  <si>
    <t>社員登録</t>
    <rPh sb="0" eb="4">
      <t>シャイントウロク</t>
    </rPh>
    <phoneticPr fontId="1"/>
  </si>
  <si>
    <t>部門一覧</t>
    <rPh sb="0" eb="4">
      <t>ブモンイチラン</t>
    </rPh>
    <phoneticPr fontId="1"/>
  </si>
  <si>
    <t>部門登録</t>
    <rPh sb="0" eb="4">
      <t>ブモントウロク</t>
    </rPh>
    <phoneticPr fontId="1"/>
  </si>
  <si>
    <t>社員更新</t>
    <rPh sb="0" eb="4">
      <t>シャインコウシン</t>
    </rPh>
    <phoneticPr fontId="1"/>
  </si>
  <si>
    <t>社員削除</t>
    <rPh sb="0" eb="4">
      <t>シャインサクジョ</t>
    </rPh>
    <phoneticPr fontId="1"/>
  </si>
  <si>
    <t>部門削除</t>
    <rPh sb="0" eb="4">
      <t>ブモンサクジョ</t>
    </rPh>
    <phoneticPr fontId="1"/>
  </si>
  <si>
    <t>画面遷移</t>
    <rPh sb="0" eb="4">
      <t>ガメンセンイ</t>
    </rPh>
    <phoneticPr fontId="1"/>
  </si>
  <si>
    <t>ルール1</t>
    <phoneticPr fontId="1"/>
  </si>
  <si>
    <t>ルール2</t>
  </si>
  <si>
    <t>ルール3</t>
  </si>
  <si>
    <t>ルール4</t>
  </si>
  <si>
    <t>ルール5</t>
  </si>
  <si>
    <t>ルール6</t>
  </si>
  <si>
    <t>ルール7</t>
  </si>
  <si>
    <t>ルール8</t>
  </si>
  <si>
    <t>条件</t>
    <rPh sb="0" eb="2">
      <t>ジョウケン</t>
    </rPh>
    <phoneticPr fontId="1"/>
  </si>
  <si>
    <t>N</t>
    <phoneticPr fontId="1"/>
  </si>
  <si>
    <t>Y</t>
    <phoneticPr fontId="1"/>
  </si>
  <si>
    <t>-</t>
    <phoneticPr fontId="1"/>
  </si>
  <si>
    <t>文字種が半角英数のみ</t>
    <rPh sb="0" eb="3">
      <t>モジシュ</t>
    </rPh>
    <rPh sb="4" eb="8">
      <t>ハンカクエイスウ</t>
    </rPh>
    <phoneticPr fontId="1"/>
  </si>
  <si>
    <t>アクション</t>
    <phoneticPr fontId="1"/>
  </si>
  <si>
    <t>表示メッセージ</t>
    <rPh sb="0" eb="2">
      <t>ヒョウジ</t>
    </rPh>
    <phoneticPr fontId="1"/>
  </si>
  <si>
    <t>名前</t>
    <rPh sb="0" eb="2">
      <t>ナマエ</t>
    </rPh>
    <phoneticPr fontId="1"/>
  </si>
  <si>
    <t>メールアドレス</t>
    <phoneticPr fontId="1"/>
  </si>
  <si>
    <t>文字種が文字のみ</t>
    <rPh sb="0" eb="3">
      <t>モジシュ</t>
    </rPh>
    <rPh sb="4" eb="6">
      <t>モジ</t>
    </rPh>
    <phoneticPr fontId="1"/>
  </si>
  <si>
    <t>文字数が20文字以内</t>
    <rPh sb="0" eb="3">
      <t>モジスウ</t>
    </rPh>
    <rPh sb="6" eb="8">
      <t>モジ</t>
    </rPh>
    <rPh sb="8" eb="10">
      <t>イナイ</t>
    </rPh>
    <phoneticPr fontId="1"/>
  </si>
  <si>
    <t>名前が空欄</t>
    <rPh sb="0" eb="2">
      <t>ナマエ</t>
    </rPh>
    <rPh sb="3" eb="5">
      <t>クウラン</t>
    </rPh>
    <phoneticPr fontId="1"/>
  </si>
  <si>
    <t>文字数が50文字以内</t>
    <rPh sb="0" eb="3">
      <t>モジスウ</t>
    </rPh>
    <rPh sb="6" eb="8">
      <t>モジ</t>
    </rPh>
    <rPh sb="8" eb="10">
      <t>イナイ</t>
    </rPh>
    <phoneticPr fontId="1"/>
  </si>
  <si>
    <t>電話番号</t>
    <rPh sb="0" eb="4">
      <t>デンワバンゴウ</t>
    </rPh>
    <phoneticPr fontId="1"/>
  </si>
  <si>
    <t>文字種が数字のみ</t>
    <rPh sb="0" eb="3">
      <t>モジシュ</t>
    </rPh>
    <rPh sb="4" eb="6">
      <t>スウジ</t>
    </rPh>
    <phoneticPr fontId="1"/>
  </si>
  <si>
    <t>文字数が15文字以内</t>
    <rPh sb="0" eb="3">
      <t>モジスウ</t>
    </rPh>
    <rPh sb="6" eb="8">
      <t>モジ</t>
    </rPh>
    <rPh sb="8" eb="10">
      <t>イナイ</t>
    </rPh>
    <phoneticPr fontId="1"/>
  </si>
  <si>
    <t>部署</t>
    <rPh sb="0" eb="2">
      <t>ブショ</t>
    </rPh>
    <phoneticPr fontId="1"/>
  </si>
  <si>
    <t>正しい名前（更新・削除時）</t>
    <rPh sb="0" eb="1">
      <t>タダ</t>
    </rPh>
    <rPh sb="3" eb="5">
      <t>ナマエ</t>
    </rPh>
    <rPh sb="6" eb="8">
      <t>コウシン</t>
    </rPh>
    <rPh sb="9" eb="11">
      <t>サクジョ</t>
    </rPh>
    <rPh sb="11" eb="12">
      <t>ジ</t>
    </rPh>
    <phoneticPr fontId="1"/>
  </si>
  <si>
    <t>正しい部署（社員登録時）</t>
    <rPh sb="0" eb="1">
      <t>タダ</t>
    </rPh>
    <rPh sb="3" eb="5">
      <t>ブショ</t>
    </rPh>
    <rPh sb="6" eb="11">
      <t>シャイントウロクジ</t>
    </rPh>
    <phoneticPr fontId="1"/>
  </si>
  <si>
    <t>メールが空欄（登録時）</t>
    <rPh sb="4" eb="6">
      <t>クウラン</t>
    </rPh>
    <rPh sb="7" eb="10">
      <t>トウロクジ</t>
    </rPh>
    <phoneticPr fontId="1"/>
  </si>
  <si>
    <t>電話番号が空欄（登録時）</t>
    <rPh sb="0" eb="4">
      <t>デンワバンゴウ</t>
    </rPh>
    <rPh sb="5" eb="7">
      <t>クウラン</t>
    </rPh>
    <rPh sb="8" eb="11">
      <t>トウロクジ</t>
    </rPh>
    <phoneticPr fontId="1"/>
  </si>
  <si>
    <t>部署が空欄（登録時）</t>
    <rPh sb="0" eb="2">
      <t>ブショ</t>
    </rPh>
    <rPh sb="3" eb="5">
      <t>クウラン</t>
    </rPh>
    <rPh sb="6" eb="9">
      <t>トウロクジ</t>
    </rPh>
    <phoneticPr fontId="1"/>
  </si>
  <si>
    <t>確認画面へ遷移する</t>
    <rPh sb="0" eb="2">
      <t>カクニン</t>
    </rPh>
    <rPh sb="2" eb="4">
      <t>ガメン</t>
    </rPh>
    <rPh sb="5" eb="7">
      <t>センイ</t>
    </rPh>
    <phoneticPr fontId="1"/>
  </si>
  <si>
    <t>登録画面へ遷移する</t>
    <rPh sb="0" eb="4">
      <t>トウロクガメン</t>
    </rPh>
    <rPh sb="5" eb="7">
      <t>センイ</t>
    </rPh>
    <phoneticPr fontId="1"/>
  </si>
  <si>
    <t>条件/アクション(社員登録)</t>
    <rPh sb="0" eb="2">
      <t>ジョウケン</t>
    </rPh>
    <rPh sb="9" eb="13">
      <t>シャイントウロク</t>
    </rPh>
    <phoneticPr fontId="1"/>
  </si>
  <si>
    <t>ルール9</t>
  </si>
  <si>
    <t>ルール10</t>
  </si>
  <si>
    <t>ルール11</t>
  </si>
  <si>
    <t>ルール12</t>
  </si>
  <si>
    <t>ルール14</t>
  </si>
  <si>
    <t>名前は必須です</t>
    <rPh sb="0" eb="2">
      <t>ナマエ</t>
    </rPh>
    <rPh sb="3" eb="5">
      <t>ヒッス</t>
    </rPh>
    <phoneticPr fontId="1"/>
  </si>
  <si>
    <t>名前は文字のみです</t>
    <rPh sb="0" eb="2">
      <t>ナマエ</t>
    </rPh>
    <rPh sb="3" eb="5">
      <t>モジ</t>
    </rPh>
    <phoneticPr fontId="1"/>
  </si>
  <si>
    <t>名前は20文字以内で入力してください</t>
    <rPh sb="0" eb="2">
      <t>ナマエ</t>
    </rPh>
    <rPh sb="5" eb="7">
      <t>モジ</t>
    </rPh>
    <rPh sb="7" eb="9">
      <t>イナイ</t>
    </rPh>
    <rPh sb="10" eb="12">
      <t>ニュウリョク</t>
    </rPh>
    <phoneticPr fontId="1"/>
  </si>
  <si>
    <t>メールアドレスは必須です</t>
    <rPh sb="8" eb="10">
      <t>ヒッス</t>
    </rPh>
    <phoneticPr fontId="1"/>
  </si>
  <si>
    <t>メールアドレスは50文字以内で入力してください</t>
    <rPh sb="10" eb="14">
      <t>モジイナイ</t>
    </rPh>
    <rPh sb="15" eb="17">
      <t>ニュウリョク</t>
    </rPh>
    <phoneticPr fontId="1"/>
  </si>
  <si>
    <t>電話番号は必須です</t>
    <rPh sb="0" eb="4">
      <t>デンワバンゴウ</t>
    </rPh>
    <rPh sb="5" eb="7">
      <t>ヒッス</t>
    </rPh>
    <phoneticPr fontId="1"/>
  </si>
  <si>
    <t>電話番号は数字のみです</t>
    <rPh sb="0" eb="4">
      <t>デンワバンゴウ</t>
    </rPh>
    <rPh sb="5" eb="7">
      <t>スウジ</t>
    </rPh>
    <phoneticPr fontId="1"/>
  </si>
  <si>
    <t>メールアドレスは半角英数のみです</t>
    <rPh sb="8" eb="12">
      <t>ハンカクエイスウ</t>
    </rPh>
    <phoneticPr fontId="1"/>
  </si>
  <si>
    <t>電話番号は20文字以内で入力してください</t>
    <rPh sb="0" eb="4">
      <t>デンワバンゴウ</t>
    </rPh>
    <rPh sb="7" eb="11">
      <t>モジイナイ</t>
    </rPh>
    <rPh sb="12" eb="14">
      <t>ニュウリョク</t>
    </rPh>
    <phoneticPr fontId="1"/>
  </si>
  <si>
    <t>部門は必須です</t>
    <rPh sb="0" eb="2">
      <t>ブモン</t>
    </rPh>
    <rPh sb="3" eb="5">
      <t>ヒッス</t>
    </rPh>
    <phoneticPr fontId="1"/>
  </si>
  <si>
    <t>部門が存在しません</t>
    <rPh sb="0" eb="2">
      <t>ブモン</t>
    </rPh>
    <rPh sb="3" eb="5">
      <t>ソンザイ</t>
    </rPh>
    <phoneticPr fontId="1"/>
  </si>
  <si>
    <t>ルール15</t>
  </si>
  <si>
    <t>部門は文字のみです</t>
    <rPh sb="0" eb="2">
      <t>ブモン</t>
    </rPh>
    <rPh sb="3" eb="5">
      <t>モジ</t>
    </rPh>
    <phoneticPr fontId="1"/>
  </si>
  <si>
    <t>部門は20文字以内で入力してください</t>
    <rPh sb="0" eb="2">
      <t>ブモン</t>
    </rPh>
    <rPh sb="5" eb="7">
      <t>モジ</t>
    </rPh>
    <rPh sb="7" eb="9">
      <t>イナイ</t>
    </rPh>
    <rPh sb="10" eb="12">
      <t>ニュウリョク</t>
    </rPh>
    <phoneticPr fontId="1"/>
  </si>
  <si>
    <t>ルール16</t>
  </si>
  <si>
    <t>ルール17</t>
  </si>
  <si>
    <t>No</t>
    <phoneticPr fontId="1"/>
  </si>
  <si>
    <t>入力値</t>
    <rPh sb="0" eb="3">
      <t>ニュウリョクチ</t>
    </rPh>
    <phoneticPr fontId="1"/>
  </si>
  <si>
    <t>期待結果</t>
    <rPh sb="0" eb="2">
      <t>キタイ</t>
    </rPh>
    <rPh sb="2" eb="4">
      <t>ケッカ</t>
    </rPh>
    <phoneticPr fontId="1"/>
  </si>
  <si>
    <t>メッセージ</t>
    <phoneticPr fontId="1"/>
  </si>
  <si>
    <t>(空欄)</t>
    <rPh sb="1" eb="3">
      <t>クウラン</t>
    </rPh>
    <phoneticPr fontId="1"/>
  </si>
  <si>
    <t>123i</t>
    <phoneticPr fontId="1"/>
  </si>
  <si>
    <t>部門</t>
    <rPh sb="0" eb="2">
      <t>ブモン</t>
    </rPh>
    <phoneticPr fontId="1"/>
  </si>
  <si>
    <t>mailadress@mail</t>
    <phoneticPr fontId="1"/>
  </si>
  <si>
    <t>総務部</t>
    <rPh sb="0" eb="3">
      <t>ソウムブ</t>
    </rPh>
    <phoneticPr fontId="1"/>
  </si>
  <si>
    <t>メールアドレスは半角英数字のみです</t>
    <rPh sb="8" eb="13">
      <t>ハンカクエイスウジ</t>
    </rPh>
    <phoneticPr fontId="1"/>
  </si>
  <si>
    <t>メールアドレスは50文字以内で入力してください</t>
    <rPh sb="10" eb="12">
      <t>モジ</t>
    </rPh>
    <rPh sb="12" eb="14">
      <t>イナイ</t>
    </rPh>
    <rPh sb="15" eb="17">
      <t>ニュウリョク</t>
    </rPh>
    <phoneticPr fontId="1"/>
  </si>
  <si>
    <t>電話番号は20文字以内で入力してください</t>
    <rPh sb="0" eb="4">
      <t>デンワバンゴウ</t>
    </rPh>
    <rPh sb="7" eb="9">
      <t>モジ</t>
    </rPh>
    <rPh sb="9" eb="11">
      <t>イナイ</t>
    </rPh>
    <rPh sb="12" eb="14">
      <t>ニュウリョク</t>
    </rPh>
    <phoneticPr fontId="1"/>
  </si>
  <si>
    <t>あいうえおかきく…</t>
    <phoneticPr fontId="1"/>
  </si>
  <si>
    <t>あいうえお</t>
    <phoneticPr fontId="1"/>
  </si>
  <si>
    <t>mailadress…</t>
    <phoneticPr fontId="1"/>
  </si>
  <si>
    <t>123456789…</t>
    <phoneticPr fontId="1"/>
  </si>
  <si>
    <t>あいう</t>
    <phoneticPr fontId="1"/>
  </si>
  <si>
    <t>0123</t>
    <phoneticPr fontId="1"/>
  </si>
  <si>
    <t>あいう…</t>
    <phoneticPr fontId="1"/>
  </si>
  <si>
    <t>入力画面へ遷移</t>
    <rPh sb="0" eb="2">
      <t>ニュウリョク</t>
    </rPh>
    <rPh sb="2" eb="4">
      <t>ガメン</t>
    </rPh>
    <rPh sb="5" eb="7">
      <t>センイ</t>
    </rPh>
    <phoneticPr fontId="1"/>
  </si>
  <si>
    <t>確認画面へ遷移</t>
    <rPh sb="0" eb="2">
      <t>カクニン</t>
    </rPh>
    <rPh sb="2" eb="4">
      <t>ガメン</t>
    </rPh>
    <rPh sb="5" eb="7">
      <t>センイ</t>
    </rPh>
    <phoneticPr fontId="1"/>
  </si>
  <si>
    <t>人事部</t>
    <rPh sb="0" eb="3">
      <t>ジンジブ</t>
    </rPh>
    <phoneticPr fontId="1"/>
  </si>
  <si>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</si>
  <si>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</si>
  <si>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</si>
  <si>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</si>
  <si>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</si>
  <si>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</si>
  <si>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</si>
  <si>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</si>
  <si>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</si>
  <si>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設計</t>
    <rPh sb="0" eb="2">
      <t>セッケイ</t>
    </rPh>
    <phoneticPr fontId="12"/>
  </si>
  <si>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</si>
  <si>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アクティビティ図</t>
    <rPh sb="7" eb="8">
      <t>ズ</t>
    </rPh>
    <phoneticPr fontId="7"/>
  </si>
  <si>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</si>
  <si>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ユースケース図</t>
    <rPh sb="6" eb="7">
      <t>ズ</t>
    </rPh>
    <phoneticPr fontId="7"/>
  </si>
  <si>
    <t>テーブル定義書（ER図）</t>
    <rPh sb="4" eb="7">
      <t>テイギショ</t>
    </rPh>
    <rPh sb="10" eb="11">
      <t>ズ</t>
    </rPh>
    <phoneticPr fontId="7"/>
  </si>
  <si>
    <t>クラス図</t>
    <rPh sb="3" eb="4">
      <t>ズ</t>
    </rPh>
    <phoneticPr fontId="7"/>
  </si>
  <si>
    <t>シーケンス図</t>
    <rPh sb="5" eb="6">
      <t>ズ</t>
    </rPh>
    <phoneticPr fontId="7"/>
  </si>
  <si>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</si>
  <si>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タスク 1</t>
  </si>
  <si>
    <t>タスク 2</t>
  </si>
  <si>
    <t>タスク 3</t>
  </si>
  <si>
    <t>タスク 4</t>
  </si>
  <si>
    <t>タスク 5</t>
  </si>
  <si>
    <t>サンプル フェーズ タイトル ブロック</t>
  </si>
  <si>
    <t>日付</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</si>
  <si>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</si>
  <si>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</si>
  <si>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社員一覧</t>
    <rPh sb="0" eb="4">
      <t>シャインイチラン</t>
    </rPh>
    <phoneticPr fontId="12"/>
  </si>
  <si>
    <t>この行の上に新しい行を挿入する</t>
    <phoneticPr fontId="1"/>
  </si>
  <si>
    <t>テストケース</t>
    <phoneticPr fontId="1"/>
  </si>
  <si>
    <t>1. テスト名称</t>
    <rPh sb="6" eb="8">
      <t>メイショウ</t>
    </rPh>
    <phoneticPr fontId="1"/>
  </si>
  <si>
    <t>2. 事前条件</t>
    <rPh sb="3" eb="7">
      <t>ジゼンジョウケン</t>
    </rPh>
    <phoneticPr fontId="1"/>
  </si>
  <si>
    <t>手順</t>
    <rPh sb="0" eb="2">
      <t>テジュン</t>
    </rPh>
    <phoneticPr fontId="1"/>
  </si>
  <si>
    <t>期待結果</t>
    <rPh sb="0" eb="4">
      <t>キタイケッカ</t>
    </rPh>
    <phoneticPr fontId="1"/>
  </si>
  <si>
    <t>判定</t>
    <rPh sb="0" eb="2">
      <t>ハンテイ</t>
    </rPh>
    <phoneticPr fontId="1"/>
  </si>
  <si>
    <t>実施日</t>
    <rPh sb="0" eb="3">
      <t>ジッシビ</t>
    </rPh>
    <phoneticPr fontId="1"/>
  </si>
  <si>
    <t>実施者</t>
    <rPh sb="0" eb="3">
      <t>ジッシシャ</t>
    </rPh>
    <phoneticPr fontId="1"/>
  </si>
  <si>
    <t>不具合No</t>
    <rPh sb="0" eb="3">
      <t>フグアイ</t>
    </rPh>
    <phoneticPr fontId="1"/>
  </si>
  <si>
    <t>備考</t>
    <rPh sb="0" eb="2">
      <t>ビコウ</t>
    </rPh>
    <phoneticPr fontId="1"/>
  </si>
  <si>
    <t>社員一覧</t>
    <rPh sb="0" eb="4">
      <t>シャインイチラン</t>
    </rPh>
    <phoneticPr fontId="1"/>
  </si>
  <si>
    <t>部門情報が登録されている</t>
    <rPh sb="0" eb="4">
      <t>ブモンジョウホウ</t>
    </rPh>
    <rPh sb="5" eb="7">
      <t>トウロク</t>
    </rPh>
    <phoneticPr fontId="1"/>
  </si>
  <si>
    <t>社員情報が登録されている</t>
    <rPh sb="0" eb="4">
      <t>シャインジョウホウ</t>
    </rPh>
    <rPh sb="5" eb="7">
      <t>トウロク</t>
    </rPh>
    <phoneticPr fontId="1"/>
  </si>
  <si>
    <t>社員情報が登録されている</t>
    <rPh sb="4" eb="6">
      <t>ジョウホウ</t>
    </rPh>
    <phoneticPr fontId="1"/>
  </si>
  <si>
    <t>部門一覧画面を表示する</t>
    <rPh sb="0" eb="6">
      <t>ブモンイチランガメン</t>
    </rPh>
    <rPh sb="7" eb="9">
      <t>ヒョウジ</t>
    </rPh>
    <phoneticPr fontId="1"/>
  </si>
  <si>
    <t>部門名を入力して登録する</t>
    <rPh sb="0" eb="3">
      <t>ブモンメイ</t>
    </rPh>
    <rPh sb="4" eb="6">
      <t>ニュウリョク</t>
    </rPh>
    <rPh sb="8" eb="10">
      <t>トウロク</t>
    </rPh>
    <phoneticPr fontId="1"/>
  </si>
  <si>
    <t>部門更新</t>
    <rPh sb="0" eb="4">
      <t>ブモンコウシン</t>
    </rPh>
    <phoneticPr fontId="1"/>
  </si>
  <si>
    <t>部門名を変更して更新する</t>
    <rPh sb="0" eb="3">
      <t>ブモンメイ</t>
    </rPh>
    <rPh sb="4" eb="6">
      <t>ヘンコウ</t>
    </rPh>
    <rPh sb="8" eb="10">
      <t>コウシン</t>
    </rPh>
    <phoneticPr fontId="1"/>
  </si>
  <si>
    <t>対象とする部門に所属する社員がいない</t>
    <rPh sb="0" eb="2">
      <t>タイショウ</t>
    </rPh>
    <rPh sb="5" eb="7">
      <t>ブモン</t>
    </rPh>
    <rPh sb="8" eb="10">
      <t>ショゾク</t>
    </rPh>
    <rPh sb="12" eb="14">
      <t>シャイン</t>
    </rPh>
    <phoneticPr fontId="1"/>
  </si>
  <si>
    <t>部門を選択して削除する</t>
    <rPh sb="0" eb="2">
      <t>ブモン</t>
    </rPh>
    <rPh sb="3" eb="5">
      <t>センタク</t>
    </rPh>
    <rPh sb="7" eb="9">
      <t>サクジョ</t>
    </rPh>
    <phoneticPr fontId="1"/>
  </si>
  <si>
    <t>エラーメッセージが表示される</t>
    <rPh sb="9" eb="11">
      <t>ヒョウジ</t>
    </rPh>
    <phoneticPr fontId="1"/>
  </si>
  <si>
    <t>社員の名前を指定し、メールアドレス、電話番号、部門を変更して更新する</t>
    <rPh sb="0" eb="2">
      <t>シャイン</t>
    </rPh>
    <rPh sb="3" eb="5">
      <t>ナマエ</t>
    </rPh>
    <rPh sb="6" eb="8">
      <t>シテイ</t>
    </rPh>
    <rPh sb="18" eb="22">
      <t>デンワバンゴウ</t>
    </rPh>
    <rPh sb="23" eb="25">
      <t>ブモン</t>
    </rPh>
    <rPh sb="26" eb="28">
      <t>ヘンコウ</t>
    </rPh>
    <rPh sb="30" eb="32">
      <t>コウシン</t>
    </rPh>
    <phoneticPr fontId="1"/>
  </si>
  <si>
    <t>社員を指定して削除する</t>
    <rPh sb="0" eb="2">
      <t>シャイン</t>
    </rPh>
    <rPh sb="3" eb="5">
      <t>シテイ</t>
    </rPh>
    <rPh sb="7" eb="9">
      <t>サクジョ</t>
    </rPh>
    <phoneticPr fontId="1"/>
  </si>
  <si>
    <t>部門名が空欄である</t>
    <rPh sb="0" eb="3">
      <t>ブモンメイ</t>
    </rPh>
    <rPh sb="4" eb="6">
      <t>クウラン</t>
    </rPh>
    <phoneticPr fontId="1"/>
  </si>
  <si>
    <t>部門名の文字型が異なる</t>
    <rPh sb="0" eb="3">
      <t>ブモンメイ</t>
    </rPh>
    <rPh sb="4" eb="7">
      <t>モジガタ</t>
    </rPh>
    <rPh sb="8" eb="9">
      <t>コト</t>
    </rPh>
    <phoneticPr fontId="1"/>
  </si>
  <si>
    <t>確認画面に遷移する</t>
    <rPh sb="0" eb="4">
      <t>カクニンガメン</t>
    </rPh>
    <rPh sb="5" eb="7">
      <t>センイ</t>
    </rPh>
    <phoneticPr fontId="1"/>
  </si>
  <si>
    <t>確認画面で[確認]ボタンを押下</t>
    <rPh sb="0" eb="4">
      <t>カクニンガメン</t>
    </rPh>
    <rPh sb="6" eb="8">
      <t>カクニン</t>
    </rPh>
    <rPh sb="13" eb="15">
      <t>オウカ</t>
    </rPh>
    <phoneticPr fontId="1"/>
  </si>
  <si>
    <t>確認画面で[戻る]ボタンを押下</t>
    <rPh sb="0" eb="4">
      <t>カクニンガメン</t>
    </rPh>
    <rPh sb="6" eb="7">
      <t>モド</t>
    </rPh>
    <rPh sb="13" eb="15">
      <t>オウカ</t>
    </rPh>
    <phoneticPr fontId="1"/>
  </si>
  <si>
    <t>メールアドレス、電話番号、部門に空欄がある</t>
    <rPh sb="8" eb="12">
      <t>デンワバンゴウ</t>
    </rPh>
    <rPh sb="13" eb="15">
      <t>ブモン</t>
    </rPh>
    <rPh sb="16" eb="18">
      <t>クウラン</t>
    </rPh>
    <phoneticPr fontId="1"/>
  </si>
  <si>
    <t>データベースに社員情報が登録されている</t>
    <rPh sb="7" eb="9">
      <t>シャイン</t>
    </rPh>
    <rPh sb="9" eb="11">
      <t>ジョウホウ</t>
    </rPh>
    <rPh sb="12" eb="14">
      <t>トウロク</t>
    </rPh>
    <phoneticPr fontId="1"/>
  </si>
  <si>
    <t>登録画面に遷移する</t>
    <rPh sb="0" eb="4">
      <t>トウロクガメン</t>
    </rPh>
    <rPh sb="5" eb="7">
      <t>センイ</t>
    </rPh>
    <phoneticPr fontId="1"/>
  </si>
  <si>
    <t>入力した社員情報がデータベースに登録され、完了画面に遷移する</t>
    <rPh sb="16" eb="18">
      <t>トウロク</t>
    </rPh>
    <rPh sb="21" eb="25">
      <t>カンリョウガメン</t>
    </rPh>
    <rPh sb="26" eb="28">
      <t>センイ</t>
    </rPh>
    <phoneticPr fontId="1"/>
  </si>
  <si>
    <t>名前、メールアドレス、電話番号が指定の文字型でない</t>
    <rPh sb="0" eb="2">
      <t>ナマエ</t>
    </rPh>
    <rPh sb="11" eb="15">
      <t>デンワバンゴウ</t>
    </rPh>
    <rPh sb="16" eb="18">
      <t>シテイ</t>
    </rPh>
    <rPh sb="19" eb="22">
      <t>モジガタ</t>
    </rPh>
    <phoneticPr fontId="1"/>
  </si>
  <si>
    <t>名前、メールアドレス、電話番号が空欄、または部門が未選択である</t>
    <rPh sb="0" eb="2">
      <t>ナマエ</t>
    </rPh>
    <rPh sb="11" eb="15">
      <t>デンワバンゴウ</t>
    </rPh>
    <rPh sb="16" eb="18">
      <t>クウラン</t>
    </rPh>
    <rPh sb="22" eb="24">
      <t>ブモン</t>
    </rPh>
    <rPh sb="25" eb="28">
      <t>ミセンタク</t>
    </rPh>
    <phoneticPr fontId="1"/>
  </si>
  <si>
    <t>部門名が指定の桁数でない</t>
    <rPh sb="0" eb="2">
      <t>ブモン</t>
    </rPh>
    <rPh sb="2" eb="3">
      <t>メイ</t>
    </rPh>
    <rPh sb="4" eb="6">
      <t>シテイ</t>
    </rPh>
    <rPh sb="7" eb="9">
      <t>ケタスウ</t>
    </rPh>
    <phoneticPr fontId="1"/>
  </si>
  <si>
    <t>データベースに部門情報が登録されている</t>
    <rPh sb="7" eb="11">
      <t>ブモンジョウホウ</t>
    </rPh>
    <rPh sb="12" eb="14">
      <t>トウロク</t>
    </rPh>
    <phoneticPr fontId="1"/>
  </si>
  <si>
    <t>登録されている部門情報が一覧表示される。部門数がデータベース上の件数と一致している</t>
    <rPh sb="0" eb="2">
      <t>トウロク</t>
    </rPh>
    <rPh sb="7" eb="11">
      <t>ブモンジョウホウ</t>
    </rPh>
    <rPh sb="12" eb="16">
      <t>イチランヒョウジ</t>
    </rPh>
    <rPh sb="20" eb="22">
      <t>ブモン</t>
    </rPh>
    <rPh sb="30" eb="31">
      <t>ウエ</t>
    </rPh>
    <phoneticPr fontId="1"/>
  </si>
  <si>
    <t>入力した部門情報がデータベースに登録され、完了画面に遷移する</t>
    <rPh sb="4" eb="6">
      <t>ブモン</t>
    </rPh>
    <rPh sb="16" eb="18">
      <t>トウロク</t>
    </rPh>
    <rPh sb="21" eb="25">
      <t>カンリョウガメン</t>
    </rPh>
    <rPh sb="26" eb="28">
      <t>センイ</t>
    </rPh>
    <phoneticPr fontId="1"/>
  </si>
  <si>
    <t>名前、メールアドレス、電話番号を入力、部門を選択して登録する</t>
    <rPh sb="0" eb="2">
      <t>ナマエ</t>
    </rPh>
    <rPh sb="11" eb="15">
      <t>デンワバンゴウ</t>
    </rPh>
    <rPh sb="16" eb="18">
      <t>ニュウリョク</t>
    </rPh>
    <rPh sb="19" eb="21">
      <t>ブモン</t>
    </rPh>
    <rPh sb="22" eb="24">
      <t>センタク</t>
    </rPh>
    <rPh sb="26" eb="28">
      <t>トウロク</t>
    </rPh>
    <phoneticPr fontId="1"/>
  </si>
  <si>
    <t>メールアドレス、電話番号が指定の文字型でない</t>
    <rPh sb="8" eb="12">
      <t>デンワバンゴウ</t>
    </rPh>
    <rPh sb="13" eb="15">
      <t>シテイ</t>
    </rPh>
    <rPh sb="16" eb="19">
      <t>モジガタ</t>
    </rPh>
    <phoneticPr fontId="1"/>
  </si>
  <si>
    <t>名前、メールアドレス、電話番号が指定の桁数でない</t>
    <rPh sb="0" eb="2">
      <t>ナマエ</t>
    </rPh>
    <rPh sb="11" eb="15">
      <t>デンワバンゴウ</t>
    </rPh>
    <rPh sb="16" eb="18">
      <t>シテイ</t>
    </rPh>
    <rPh sb="19" eb="21">
      <t>ケタスウ</t>
    </rPh>
    <phoneticPr fontId="1"/>
  </si>
  <si>
    <t>メールアドレス、電話番号が指定の桁数でない</t>
    <rPh sb="8" eb="12">
      <t>デンワバンゴウ</t>
    </rPh>
    <rPh sb="13" eb="15">
      <t>シテイ</t>
    </rPh>
    <rPh sb="16" eb="18">
      <t>ケタスウ</t>
    </rPh>
    <phoneticPr fontId="1"/>
  </si>
  <si>
    <t>入力した社員情報がデータベースから削除され、完了画面に遷移する</t>
    <rPh sb="17" eb="19">
      <t>サクジョ</t>
    </rPh>
    <rPh sb="22" eb="26">
      <t>カンリョウガメン</t>
    </rPh>
    <rPh sb="27" eb="29">
      <t>センイ</t>
    </rPh>
    <phoneticPr fontId="1"/>
  </si>
  <si>
    <t>社員一覧を表示する
データベース(pgAdmin)を確認する</t>
    <rPh sb="0" eb="4">
      <t>シャインイチラン</t>
    </rPh>
    <rPh sb="5" eb="7">
      <t>ヒョウジ</t>
    </rPh>
    <rPh sb="26" eb="28">
      <t>カクニン</t>
    </rPh>
    <phoneticPr fontId="1"/>
  </si>
  <si>
    <t>表示された社員数がpgAdminでSELECT*FROM employeeで出力されたレコード数と一致している</t>
    <rPh sb="0" eb="2">
      <t>ヒョウジ</t>
    </rPh>
    <rPh sb="5" eb="8">
      <t>シャインスウ</t>
    </rPh>
    <rPh sb="38" eb="40">
      <t>シュツリョク</t>
    </rPh>
    <rPh sb="47" eb="48">
      <t>スウ</t>
    </rPh>
    <rPh sb="49" eb="51">
      <t>イッチ</t>
    </rPh>
    <phoneticPr fontId="1"/>
  </si>
  <si>
    <t>個別で書く</t>
    <rPh sb="0" eb="2">
      <t>コベツ</t>
    </rPh>
    <rPh sb="3" eb="4">
      <t>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</si>
</sst>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aaa\,\ yyyy/m/d"/>
    <numFmt numFmtId="177" formatCode="d"/>
    <numFmt numFmtId="178" formatCode="m/d/yy;@"/>
  </numFmts>
  <fonts count="19" x14ac:knownFonts="1">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b/>
      <sz val="11"/>
      <color theme="1"/>
      <name val="游ゴシック"/>
      <family val="3"/>
      <charset val="128"/>
      <scheme val="minor"/>
    </font>
    <font>
      <sz val="11"/>
      <color theme="0"/>
      <name val="Meiryo UI"/>
      <family val="2"/>
    </font>
    <font>
      <b/>
      <sz val="22"/>
      <color theme="1" tint="0.34998626667073579"/>
      <name val="Meiryo UI"/>
      <family val="2"/>
    </font>
    <font>
      <sz val="11"/>
      <color theme="1"/>
      <name val="Meiryo UI"/>
      <family val="2"/>
    </font>
    <font>
      <b/>
      <sz val="20"/>
      <color theme="4" tint="-0.249977111117893"/>
      <name val="Meiryo UI"/>
      <family val="2"/>
    </font>
    <font>
      <sz val="14"/>
      <color theme="1"/>
      <name val="Meiryo UI"/>
      <family val="2"/>
    </font>
    <font>
      <u/>
      <sz val="11"/>
      <color indexed="12"/>
      <name val="Meiryo UI"/>
      <family val="2"/>
    </font>
    <font>
      <sz val="9"/>
      <name val="Meiryo UI"/>
      <family val="2"/>
    </font>
    <font>
      <b/>
      <sz val="9"/>
      <color theme="0"/>
      <name val="Meiryo UI"/>
      <family val="2"/>
    </font>
    <font>
      <sz val="6"/>
      <name val="ＭＳ Ｐゴシック"/>
      <family val="3"/>
      <charset val="128"/>
    </font>
    <font>
      <sz val="8"/>
      <color theme="0"/>
      <name val="Meiryo UI"/>
      <family val="2"/>
    </font>
    <font>
      <b/>
      <sz val="11"/>
      <color theme="1"/>
      <name val="Meiryo UI"/>
      <family val="2"/>
    </font>
    <font>
      <sz val="11"/>
      <name val="Meiryo UI"/>
      <family val="2"/>
    </font>
    <font>
      <i/>
      <sz val="9"/>
      <color theme="1"/>
      <name val="Meiryo UI"/>
      <family val="2"/>
    </font>
    <font>
      <sz val="10"/>
      <color theme="1" tint="0.499984740745262"/>
      <name val="Meiryo UI"/>
      <family val="2"/>
    </font>
    <font>
      <sz val="11"/>
      <color theme="1"/>
      <name val="游ゴシック"/>
      <family val="3"/>
      <charset val="128"/>
      <scheme val="minor"/>
    </font>
  </fonts>
  <fills count="18">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s>
  <cellStyleXfs count="14">
    <xf numFmtId="0" fontId="0" fillId="0" borderId="0">
      <alignment vertical="center"/>
    </xf>
    <xf numFmtId="0" fontId="2" fillId="0" borderId="0" applyNumberFormat="0" applyFill="0" applyBorder="0" applyAlignment="0" applyProtection="0">
      <alignment vertical="center"/>
    </xf>
    <xf numFmtId="0" fontId="4" fillId="0" borderId="0"/>
    <xf numFmtId="0" fontId="5" fillId="0" borderId="0" applyNumberFormat="0" applyFill="0" applyBorder="0" applyAlignment="0" applyProtection="0"/>
    <xf numFmtId="0" fontId="6" fillId="0" borderId="0"/>
    <xf numFmtId="0" fontId="8" fillId="0" borderId="0" applyNumberFormat="0" applyFill="0" applyAlignment="0" applyProtection="0"/>
    <xf numFmtId="0" fontId="9" fillId="0" borderId="0" applyNumberFormat="0" applyFill="0" applyBorder="0" applyAlignment="0" applyProtection="0">
      <alignment vertical="top"/>
      <protection locked="0"/>
    </xf>
    <xf numFmtId="0" fontId="8" fillId="0" borderId="0" applyNumberFormat="0" applyFill="0" applyProtection="0">
      <alignment vertical="top"/>
    </xf>
    <xf numFmtId="0" fontId="6" fillId="0" borderId="0" applyNumberFormat="0" applyFill="0" applyProtection="0">
      <alignment horizontal="right" indent="1"/>
    </xf>
    <xf numFmtId="176" fontId="6" fillId="0" borderId="17">
      <alignment horizontal="center" vertical="center"/>
    </xf>
    <xf numFmtId="0" fontId="6" fillId="0" borderId="25" applyFill="0">
      <alignment horizontal="center" vertical="center"/>
    </xf>
    <xf numFmtId="9" fontId="6" fillId="0" borderId="0" applyFont="0" applyFill="0" applyBorder="0" applyAlignment="0" applyProtection="0"/>
    <xf numFmtId="0" fontId="6" fillId="0" borderId="25" applyFill="0">
      <alignment horizontal="left" vertical="center" indent="2"/>
    </xf>
    <xf numFmtId="178" fontId="6" fillId="0" borderId="25" applyFill="0">
      <alignment horizontal="center" vertical="center"/>
    </xf>
  </cellStyleXfs>
  <cellXfs count="119">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3" fillId="0" borderId="1" xfId="0" applyFont="1" applyBorder="1">
      <alignment vertical="center"/>
    </xf>
    <xf numFmtId="0" fontId="0" fillId="0" borderId="1" xfId="0" applyBorder="1">
      <alignment vertical="center"/>
    </xf>
    <xf numFmtId="0" fontId="0" fillId="0" borderId="1" xfId="0" applyBorder="1" applyAlignment="1">
      <alignment horizontal="center" vertical="center"/>
    </xf>
    <xf numFmtId="0" fontId="0" fillId="3" borderId="2" xfId="0" applyFill="1" applyBorder="1" applyAlignment="1">
      <alignment horizontal="centerContinuous" vertical="center"/>
    </xf>
    <xf numFmtId="0" fontId="0" fillId="3" borderId="3" xfId="0" applyFill="1" applyBorder="1" applyAlignment="1">
      <alignment horizontal="centerContinuous" vertical="center"/>
    </xf>
    <xf numFmtId="0" fontId="0" fillId="3" borderId="4" xfId="0" applyFill="1" applyBorder="1" applyAlignment="1">
      <alignment horizontal="centerContinuous" vertical="center"/>
    </xf>
    <xf numFmtId="0" fontId="0" fillId="3" borderId="7" xfId="0" applyFill="1" applyBorder="1">
      <alignment vertical="center"/>
    </xf>
    <xf numFmtId="0" fontId="0" fillId="3" borderId="8" xfId="0" applyFill="1" applyBorder="1">
      <alignment vertical="center"/>
    </xf>
    <xf numFmtId="0" fontId="0" fillId="3" borderId="9" xfId="0" applyFill="1" applyBorder="1">
      <alignment vertical="center"/>
    </xf>
    <xf numFmtId="0" fontId="0" fillId="4" borderId="1" xfId="0" applyFill="1" applyBorder="1" applyAlignment="1">
      <alignment horizontal="center" vertical="center"/>
    </xf>
    <xf numFmtId="0" fontId="0" fillId="3" borderId="13" xfId="0" applyFill="1" applyBorder="1">
      <alignment vertical="center"/>
    </xf>
    <xf numFmtId="0" fontId="0" fillId="5" borderId="1" xfId="0" applyFill="1" applyBorder="1">
      <alignment vertical="center"/>
    </xf>
    <xf numFmtId="0" fontId="0" fillId="5" borderId="1" xfId="0" applyFill="1" applyBorder="1" applyAlignment="1">
      <alignment horizontal="center" vertical="center"/>
    </xf>
    <xf numFmtId="0" fontId="0" fillId="3" borderId="15" xfId="0" applyFill="1" applyBorder="1">
      <alignment vertical="center"/>
    </xf>
    <xf numFmtId="0" fontId="0" fillId="3" borderId="14" xfId="0" applyFill="1" applyBorder="1">
      <alignment vertical="center"/>
    </xf>
    <xf numFmtId="0" fontId="0" fillId="5" borderId="14" xfId="0" applyFill="1" applyBorder="1">
      <alignment vertical="center"/>
    </xf>
    <xf numFmtId="0" fontId="0" fillId="2" borderId="1" xfId="0" applyFill="1" applyBorder="1">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0" fillId="4" borderId="10" xfId="0" applyFill="1" applyBorder="1" applyAlignment="1">
      <alignment horizontal="center" vertical="center"/>
    </xf>
    <xf numFmtId="0" fontId="0" fillId="5" borderId="10" xfId="0" applyFill="1" applyBorder="1" applyAlignment="1">
      <alignment horizontal="center" vertical="center"/>
    </xf>
    <xf numFmtId="0" fontId="0" fillId="2" borderId="10" xfId="0"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0" fillId="3" borderId="14" xfId="0" applyFill="1" applyBorder="1" applyAlignment="1">
      <alignment horizontal="center" vertical="center"/>
    </xf>
    <xf numFmtId="0" fontId="0" fillId="3" borderId="13" xfId="0" applyFill="1" applyBorder="1" applyAlignment="1">
      <alignment horizontal="center" vertical="center"/>
    </xf>
    <xf numFmtId="0" fontId="0" fillId="3" borderId="12" xfId="0" applyFill="1" applyBorder="1" applyAlignment="1">
      <alignment horizontal="centerContinuous" vertical="center"/>
    </xf>
    <xf numFmtId="0" fontId="0" fillId="3" borderId="1" xfId="0" applyFill="1" applyBorder="1" applyAlignment="1">
      <alignment horizontal="centerContinuous" vertical="center"/>
    </xf>
    <xf numFmtId="0" fontId="0" fillId="3" borderId="12" xfId="0" applyFill="1" applyBorder="1" applyAlignment="1">
      <alignment horizontal="center" vertical="center"/>
    </xf>
    <xf numFmtId="0" fontId="0" fillId="3" borderId="1" xfId="0" applyFill="1" applyBorder="1" applyAlignment="1">
      <alignment horizontal="center" vertical="center"/>
    </xf>
    <xf numFmtId="0" fontId="2" fillId="5" borderId="1" xfId="1" applyFill="1" applyBorder="1">
      <alignment vertical="center"/>
    </xf>
    <xf numFmtId="0" fontId="0" fillId="5" borderId="13" xfId="0" applyFill="1" applyBorder="1">
      <alignment vertical="center"/>
    </xf>
    <xf numFmtId="0" fontId="4" fillId="0" borderId="0" xfId="2" applyAlignment="1">
      <alignment wrapText="1"/>
    </xf>
    <xf numFmtId="0" fontId="6" fillId="0" borderId="0" xfId="4"/>
    <xf numFmtId="0" fontId="4" fillId="0" borderId="0" xfId="2"/>
    <xf numFmtId="0" fontId="6" fillId="0" borderId="0" xfId="4" applyAlignment="1">
      <alignment horizontal="center"/>
    </xf>
    <xf numFmtId="0" fontId="6" fillId="0" borderId="17" xfId="4" applyBorder="1" applyAlignment="1">
      <alignment horizontal="center" vertical="center"/>
    </xf>
    <xf numFmtId="0" fontId="6" fillId="0" borderId="21" xfId="4" applyBorder="1"/>
    <xf numFmtId="177" fontId="10" fillId="9" borderId="22" xfId="4" applyNumberFormat="1" applyFont="1" applyFill="1" applyBorder="1" applyAlignment="1">
      <alignment horizontal="center" vertical="center"/>
    </xf>
    <xf numFmtId="177" fontId="10" fillId="9" borderId="0" xfId="4" applyNumberFormat="1" applyFont="1" applyFill="1" applyAlignment="1">
      <alignment horizontal="center" vertical="center"/>
    </xf>
    <xf numFmtId="177" fontId="10" fillId="9" borderId="16" xfId="4" applyNumberFormat="1" applyFont="1" applyFill="1" applyBorder="1" applyAlignment="1">
      <alignment horizontal="center" vertical="center"/>
    </xf>
    <xf numFmtId="0" fontId="11" fillId="10" borderId="19" xfId="4" applyFont="1" applyFill="1" applyBorder="1" applyAlignment="1">
      <alignment horizontal="left" vertical="center" indent="1"/>
    </xf>
    <xf numFmtId="0" fontId="11" fillId="10" borderId="19" xfId="4" applyFont="1" applyFill="1" applyBorder="1" applyAlignment="1">
      <alignment horizontal="center" vertical="center" wrapText="1"/>
    </xf>
    <xf numFmtId="0" fontId="13" fillId="11" borderId="23" xfId="4" applyFont="1" applyFill="1" applyBorder="1" applyAlignment="1">
      <alignment horizontal="center" vertical="center" shrinkToFit="1"/>
    </xf>
    <xf numFmtId="0" fontId="6" fillId="0" borderId="24" xfId="4" applyBorder="1" applyAlignment="1">
      <alignment vertical="center"/>
    </xf>
    <xf numFmtId="0" fontId="14" fillId="12" borderId="25" xfId="4" applyFont="1" applyFill="1" applyBorder="1" applyAlignment="1">
      <alignment horizontal="left" vertical="center" indent="1"/>
    </xf>
    <xf numFmtId="178" fontId="6" fillId="12" borderId="25" xfId="4" applyNumberFormat="1" applyFill="1" applyBorder="1" applyAlignment="1">
      <alignment horizontal="center" vertical="center"/>
    </xf>
    <xf numFmtId="178" fontId="15" fillId="12" borderId="25" xfId="4" applyNumberFormat="1" applyFont="1" applyFill="1" applyBorder="1" applyAlignment="1">
      <alignment horizontal="center" vertical="center"/>
    </xf>
    <xf numFmtId="0" fontId="15" fillId="0" borderId="25" xfId="4" applyFont="1" applyBorder="1" applyAlignment="1">
      <alignment horizontal="center" vertical="center"/>
    </xf>
    <xf numFmtId="0" fontId="6" fillId="0" borderId="0" xfId="4" applyAlignment="1">
      <alignment vertical="center"/>
    </xf>
    <xf numFmtId="0" fontId="6" fillId="8" borderId="25" xfId="12" applyFill="1">
      <alignment horizontal="left" vertical="center" indent="2"/>
    </xf>
    <xf numFmtId="178" fontId="6" fillId="8" borderId="25" xfId="13" applyFill="1">
      <alignment horizontal="center" vertical="center"/>
    </xf>
    <xf numFmtId="0" fontId="6" fillId="0" borderId="24" xfId="4" applyBorder="1" applyAlignment="1">
      <alignment horizontal="right" vertical="center"/>
    </xf>
    <xf numFmtId="0" fontId="14" fillId="13" borderId="25" xfId="4" applyFont="1" applyFill="1" applyBorder="1" applyAlignment="1">
      <alignment horizontal="left" vertical="center" indent="1"/>
    </xf>
    <xf numFmtId="178" fontId="6" fillId="13" borderId="25" xfId="4" applyNumberFormat="1" applyFill="1" applyBorder="1" applyAlignment="1">
      <alignment horizontal="center" vertical="center"/>
    </xf>
    <xf numFmtId="178" fontId="15" fillId="13" borderId="25" xfId="4" applyNumberFormat="1" applyFont="1" applyFill="1" applyBorder="1" applyAlignment="1">
      <alignment horizontal="center" vertical="center"/>
    </xf>
    <xf numFmtId="0" fontId="6" fillId="7" borderId="25" xfId="12" applyFill="1">
      <alignment horizontal="left" vertical="center" indent="2"/>
    </xf>
    <xf numFmtId="178" fontId="6" fillId="7" borderId="25" xfId="13" applyFill="1">
      <alignment horizontal="center" vertical="center"/>
    </xf>
    <xf numFmtId="0" fontId="14" fillId="14" borderId="25" xfId="4" applyFont="1" applyFill="1" applyBorder="1" applyAlignment="1">
      <alignment horizontal="left" vertical="center" indent="1"/>
    </xf>
    <xf numFmtId="178" fontId="6" fillId="14" borderId="25" xfId="4" applyNumberFormat="1" applyFill="1" applyBorder="1" applyAlignment="1">
      <alignment horizontal="center" vertical="center"/>
    </xf>
    <xf numFmtId="178" fontId="15" fillId="14" borderId="25" xfId="4" applyNumberFormat="1" applyFont="1" applyFill="1" applyBorder="1" applyAlignment="1">
      <alignment horizontal="center" vertical="center"/>
    </xf>
    <xf numFmtId="0" fontId="6" fillId="15" borderId="25" xfId="12" applyFill="1">
      <alignment horizontal="left" vertical="center" indent="2"/>
    </xf>
    <xf numFmtId="178" fontId="6" fillId="15" borderId="25" xfId="13" applyFill="1">
      <alignment horizontal="center" vertical="center"/>
    </xf>
    <xf numFmtId="0" fontId="14" fillId="6" borderId="25" xfId="4" applyFont="1" applyFill="1" applyBorder="1" applyAlignment="1">
      <alignment horizontal="left" vertical="center" indent="1"/>
    </xf>
    <xf numFmtId="178" fontId="6" fillId="6" borderId="25" xfId="4" applyNumberFormat="1" applyFill="1" applyBorder="1" applyAlignment="1">
      <alignment horizontal="center" vertical="center"/>
    </xf>
    <xf numFmtId="178" fontId="15" fillId="6" borderId="25" xfId="4" applyNumberFormat="1" applyFont="1" applyFill="1" applyBorder="1" applyAlignment="1">
      <alignment horizontal="center" vertical="center"/>
    </xf>
    <xf numFmtId="0" fontId="6" fillId="4" borderId="25" xfId="12" applyFill="1">
      <alignment horizontal="left" vertical="center" indent="2"/>
    </xf>
    <xf numFmtId="178" fontId="6" fillId="4" borderId="25" xfId="13" applyFill="1">
      <alignment horizontal="center" vertical="center"/>
    </xf>
    <xf numFmtId="0" fontId="16" fillId="16" borderId="25" xfId="4" applyFont="1" applyFill="1" applyBorder="1" applyAlignment="1">
      <alignment horizontal="left" vertical="center" indent="1"/>
    </xf>
    <xf numFmtId="178" fontId="17" fillId="16" borderId="25" xfId="4" applyNumberFormat="1" applyFont="1" applyFill="1" applyBorder="1" applyAlignment="1">
      <alignment horizontal="left" vertical="center"/>
    </xf>
    <xf numFmtId="178" fontId="15" fillId="16" borderId="25" xfId="4" applyNumberFormat="1" applyFont="1" applyFill="1" applyBorder="1" applyAlignment="1">
      <alignment horizontal="center" vertical="center"/>
    </xf>
    <xf numFmtId="0" fontId="15" fillId="16" borderId="25" xfId="4" applyFont="1" applyFill="1" applyBorder="1" applyAlignment="1">
      <alignment horizontal="center" vertical="center"/>
    </xf>
    <xf numFmtId="0" fontId="6" fillId="16" borderId="24" xfId="4" applyFill="1" applyBorder="1" applyAlignment="1">
      <alignment vertical="center"/>
    </xf>
    <xf numFmtId="0" fontId="6" fillId="0" borderId="0" xfId="4" applyAlignment="1">
      <alignment horizontal="right" vertical="center"/>
    </xf>
    <xf numFmtId="0" fontId="4" fillId="0" borderId="0" xfId="4" applyFont="1" applyAlignment="1">
      <alignment horizontal="center"/>
    </xf>
    <xf numFmtId="0" fontId="6" fillId="0" borderId="0" xfId="4" applyAlignment="1">
      <alignment horizontal="center" vertical="center"/>
    </xf>
    <xf numFmtId="0" fontId="3" fillId="4" borderId="10"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14" fontId="6" fillId="9" borderId="18" xfId="4" applyNumberFormat="1" applyFill="1" applyBorder="1" applyAlignment="1">
      <alignment horizontal="left" vertical="center" wrapText="1" indent="1"/>
    </xf>
    <xf numFmtId="14" fontId="6" fillId="9" borderId="19" xfId="4" applyNumberFormat="1" applyFill="1" applyBorder="1" applyAlignment="1">
      <alignment horizontal="left" vertical="center" wrapText="1" indent="1"/>
    </xf>
    <xf numFmtId="14" fontId="6" fillId="9" borderId="20" xfId="4" applyNumberFormat="1" applyFill="1" applyBorder="1" applyAlignment="1">
      <alignment horizontal="left" vertical="center" wrapText="1" indent="1"/>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0" fillId="0" borderId="1" xfId="0" applyBorder="1" applyAlignment="1">
      <alignment vertical="center" wrapText="1"/>
    </xf>
    <xf numFmtId="0" fontId="0" fillId="0" borderId="1" xfId="0" applyBorder="1" applyAlignment="1">
      <alignment vertical="top"/>
    </xf>
    <xf numFmtId="0" fontId="0" fillId="0" borderId="1" xfId="0" applyBorder="1" applyAlignment="1">
      <alignment vertical="top" wrapText="1"/>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0" xfId="0" applyFont="1" applyBorder="1">
      <alignment vertical="center"/>
    </xf>
    <xf numFmtId="0" fontId="3" fillId="0" borderId="11" xfId="0" applyFont="1" applyBorder="1">
      <alignment vertical="center"/>
    </xf>
    <xf numFmtId="0" fontId="18" fillId="0" borderId="10" xfId="0" applyFont="1" applyBorder="1">
      <alignment vertical="center"/>
    </xf>
    <xf numFmtId="0" fontId="3" fillId="0" borderId="10" xfId="0" applyFont="1" applyBorder="1" applyAlignment="1">
      <alignment horizontal="left" vertical="center"/>
    </xf>
    <xf numFmtId="0" fontId="3" fillId="0" borderId="12" xfId="0" applyFont="1" applyBorder="1" applyAlignment="1">
      <alignment horizontal="left" vertical="center"/>
    </xf>
    <xf numFmtId="0" fontId="3" fillId="0" borderId="10" xfId="0" applyFont="1" applyBorder="1" applyAlignment="1">
      <alignment horizontal="left" vertical="center"/>
    </xf>
    <xf numFmtId="0" fontId="3" fillId="0" borderId="11" xfId="0" applyFont="1" applyBorder="1" applyAlignment="1">
      <alignment horizontal="left" vertical="center"/>
    </xf>
    <xf numFmtId="0" fontId="0" fillId="0" borderId="10" xfId="0" applyBorder="1" applyAlignment="1">
      <alignment vertical="top"/>
    </xf>
    <xf numFmtId="0" fontId="3" fillId="0" borderId="11" xfId="0" applyFont="1" applyBorder="1" applyAlignment="1">
      <alignment horizontal="left" vertical="top"/>
    </xf>
    <xf numFmtId="0" fontId="0" fillId="0" borderId="11" xfId="0" applyBorder="1" applyAlignment="1">
      <alignment vertical="top"/>
    </xf>
    <xf numFmtId="0" fontId="3" fillId="0" borderId="1" xfId="0" applyFont="1" applyBorder="1" applyAlignment="1">
      <alignment vertical="top"/>
    </xf>
    <xf numFmtId="0" fontId="0" fillId="0" borderId="0" xfId="0" applyAlignment="1">
      <alignment vertical="top"/>
    </xf>
    <xf numFmtId="0" fontId="0" fillId="17" borderId="1" xfId="0" applyFill="1" applyBorder="1" applyAlignment="1">
      <alignment vertical="top"/>
    </xf>
  </cellXfs>
  <cellStyles count="14">
    <cellStyle name="z_非表示_テキスト" xfId="2" xr:uid="{8936C44F-B274-4CA5-AA8F-DB8080DAB00E}"/>
    <cellStyle name="タイトル 2" xfId="3" xr:uid="{A58EC342-2F98-4FDE-8567-D6B4D12E9CCF}"/>
    <cellStyle name="タスク" xfId="12" xr:uid="{0EA50E59-14B4-4697-B800-2EB8A7E5D553}"/>
    <cellStyle name="パーセント 2" xfId="11" xr:uid="{38B79876-3C46-4259-BF83-C72C5BD89DBD}"/>
    <cellStyle name="ハイパーリンク" xfId="1" builtinId="8"/>
    <cellStyle name="ハイパーリンク 2" xfId="6" xr:uid="{9C5FA66D-7D08-4508-9EB2-EA29F482524F}"/>
    <cellStyle name="プロジェクトの開始" xfId="9" xr:uid="{9660CF68-01C5-4BB0-A7D7-82D93AF25DDD}"/>
    <cellStyle name="見出し 1 2" xfId="5" xr:uid="{7AE45ECE-8BED-4EDA-A038-61B36495DAFD}"/>
    <cellStyle name="見出し 2 2" xfId="7" xr:uid="{6F30D720-F74A-4099-900A-0A53DA0719E1}"/>
    <cellStyle name="見出し 3 2" xfId="8" xr:uid="{4D8CB1FE-11C3-48C7-970C-0B542DD849FD}"/>
    <cellStyle name="日付" xfId="13" xr:uid="{4998BD81-2A02-4CE6-A073-7AA7555BD895}"/>
    <cellStyle name="標準" xfId="0" builtinId="0"/>
    <cellStyle name="標準 2" xfId="4" xr:uid="{D32E0507-7768-4ABC-B276-ECB407E015AD}"/>
    <cellStyle name="名前" xfId="10" xr:uid="{42699B3B-4315-4C9D-829C-F5E9AF88E681}"/>
  </cellStyles>
  <dxfs count="3">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ペーパー">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mailto:mailadress@mail" TargetMode="External"/><Relationship Id="rId1" Type="http://schemas.openxmlformats.org/officeDocument/2006/relationships/hyperlink" Target="mailto:mailadress@mai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5762-3E13-4083-A9CA-00C9659935AB}">
  <dimension ref="B2:T35"/>
  <sheetViews>
    <sheetView zoomScale="56" workbookViewId="0">
      <selection activeCell="I27" sqref="I27"/>
    </sheetView>
  </sheetViews>
  <sheetFormatPr defaultRowHeight="18" x14ac:dyDescent="0.55000000000000004"/>
  <cols>
    <col min="3" max="3" width="14.4140625" customWidth="1"/>
    <col min="4" max="4" width="20.83203125" customWidth="1"/>
    <col min="5" max="16" width="8.6640625" style="20"/>
    <col min="17" max="17" width="8.6640625" style="27"/>
    <col min="18" max="19" width="8.6640625" style="2"/>
    <col min="20" max="20" width="8.6640625" style="1"/>
  </cols>
  <sheetData>
    <row r="2" spans="2:20" x14ac:dyDescent="0.55000000000000004">
      <c r="B2" s="6" t="s">
        <v>40</v>
      </c>
      <c r="C2" s="7"/>
      <c r="D2" s="8"/>
      <c r="E2" s="81" t="s">
        <v>1</v>
      </c>
      <c r="F2" s="82"/>
      <c r="G2" s="82"/>
      <c r="H2" s="82"/>
      <c r="I2" s="82"/>
      <c r="J2" s="82"/>
      <c r="K2" s="82"/>
      <c r="L2" s="82"/>
      <c r="M2" s="82"/>
      <c r="N2" s="82"/>
      <c r="O2" s="83"/>
      <c r="P2" s="84" t="s">
        <v>3</v>
      </c>
      <c r="Q2" s="84"/>
      <c r="R2" s="84"/>
      <c r="S2" s="84"/>
      <c r="T2" s="84"/>
    </row>
    <row r="3" spans="2:20" x14ac:dyDescent="0.55000000000000004">
      <c r="B3" s="9"/>
      <c r="C3" s="10"/>
      <c r="D3" s="11"/>
      <c r="E3" s="12" t="s">
        <v>8</v>
      </c>
      <c r="F3" s="12" t="s">
        <v>9</v>
      </c>
      <c r="G3" s="12" t="s">
        <v>10</v>
      </c>
      <c r="H3" s="12" t="s">
        <v>11</v>
      </c>
      <c r="I3" s="12" t="s">
        <v>12</v>
      </c>
      <c r="J3" s="12" t="s">
        <v>13</v>
      </c>
      <c r="K3" s="12" t="s">
        <v>14</v>
      </c>
      <c r="L3" s="12" t="s">
        <v>15</v>
      </c>
      <c r="M3" s="12" t="s">
        <v>41</v>
      </c>
      <c r="N3" s="12" t="s">
        <v>42</v>
      </c>
      <c r="O3" s="22" t="s">
        <v>43</v>
      </c>
      <c r="P3" s="22" t="s">
        <v>44</v>
      </c>
      <c r="Q3" s="22" t="s">
        <v>45</v>
      </c>
      <c r="R3" s="22" t="s">
        <v>57</v>
      </c>
      <c r="S3" s="22" t="s">
        <v>60</v>
      </c>
      <c r="T3" s="12" t="s">
        <v>61</v>
      </c>
    </row>
    <row r="4" spans="2:20" x14ac:dyDescent="0.55000000000000004">
      <c r="B4" s="13" t="s">
        <v>16</v>
      </c>
      <c r="C4" s="13" t="s">
        <v>23</v>
      </c>
      <c r="D4" s="14" t="s">
        <v>27</v>
      </c>
      <c r="E4" s="15" t="s">
        <v>18</v>
      </c>
      <c r="F4" s="15" t="s">
        <v>17</v>
      </c>
      <c r="G4" s="15" t="s">
        <v>17</v>
      </c>
      <c r="H4" s="15" t="s">
        <v>17</v>
      </c>
      <c r="I4" s="15" t="s">
        <v>17</v>
      </c>
      <c r="J4" s="15" t="s">
        <v>17</v>
      </c>
      <c r="K4" s="15" t="s">
        <v>17</v>
      </c>
      <c r="L4" s="15" t="s">
        <v>17</v>
      </c>
      <c r="M4" s="15" t="s">
        <v>17</v>
      </c>
      <c r="N4" s="15" t="s">
        <v>17</v>
      </c>
      <c r="O4" s="23" t="s">
        <v>17</v>
      </c>
      <c r="P4" s="15" t="s">
        <v>17</v>
      </c>
      <c r="Q4" s="25"/>
      <c r="R4" s="25"/>
      <c r="S4" s="25"/>
      <c r="T4" s="25"/>
    </row>
    <row r="5" spans="2:20" x14ac:dyDescent="0.55000000000000004">
      <c r="B5" s="16"/>
      <c r="C5" s="16"/>
      <c r="D5" s="14" t="s">
        <v>25</v>
      </c>
      <c r="E5" s="15"/>
      <c r="F5" s="15" t="s">
        <v>17</v>
      </c>
      <c r="G5" s="15" t="s">
        <v>18</v>
      </c>
      <c r="H5" s="15" t="s">
        <v>18</v>
      </c>
      <c r="I5" s="15" t="s">
        <v>18</v>
      </c>
      <c r="J5" s="15" t="s">
        <v>18</v>
      </c>
      <c r="K5" s="15" t="s">
        <v>18</v>
      </c>
      <c r="L5" s="15" t="s">
        <v>18</v>
      </c>
      <c r="M5" s="15" t="s">
        <v>18</v>
      </c>
      <c r="N5" s="15" t="s">
        <v>18</v>
      </c>
      <c r="O5" s="23" t="s">
        <v>18</v>
      </c>
      <c r="P5" s="15" t="s">
        <v>18</v>
      </c>
      <c r="Q5" s="25"/>
      <c r="R5" s="25"/>
      <c r="S5" s="25"/>
      <c r="T5" s="25"/>
    </row>
    <row r="6" spans="2:20" x14ac:dyDescent="0.55000000000000004">
      <c r="B6" s="16"/>
      <c r="C6" s="16"/>
      <c r="D6" s="14" t="s">
        <v>26</v>
      </c>
      <c r="E6" s="15"/>
      <c r="F6" s="15"/>
      <c r="G6" s="15" t="s">
        <v>17</v>
      </c>
      <c r="H6" s="15" t="s">
        <v>18</v>
      </c>
      <c r="I6" s="15" t="s">
        <v>18</v>
      </c>
      <c r="J6" s="15" t="s">
        <v>18</v>
      </c>
      <c r="K6" s="15" t="s">
        <v>18</v>
      </c>
      <c r="L6" s="15" t="s">
        <v>18</v>
      </c>
      <c r="M6" s="15" t="s">
        <v>18</v>
      </c>
      <c r="N6" s="15" t="s">
        <v>18</v>
      </c>
      <c r="O6" s="23" t="s">
        <v>18</v>
      </c>
      <c r="P6" s="15" t="s">
        <v>18</v>
      </c>
      <c r="Q6" s="25"/>
      <c r="R6" s="25"/>
      <c r="S6" s="25"/>
      <c r="T6" s="25"/>
    </row>
    <row r="7" spans="2:20" x14ac:dyDescent="0.55000000000000004">
      <c r="B7" s="16"/>
      <c r="C7" s="16"/>
      <c r="D7" s="19" t="s">
        <v>33</v>
      </c>
      <c r="E7" s="21"/>
      <c r="F7" s="21"/>
      <c r="G7" s="21"/>
      <c r="H7" s="21"/>
      <c r="I7" s="21"/>
      <c r="J7" s="21"/>
      <c r="K7" s="21"/>
      <c r="L7" s="21"/>
      <c r="M7" s="21"/>
      <c r="N7" s="21"/>
      <c r="O7" s="24"/>
      <c r="P7" s="21"/>
      <c r="Q7" s="26"/>
      <c r="R7" s="26"/>
      <c r="S7" s="26"/>
      <c r="T7" s="26"/>
    </row>
    <row r="8" spans="2:20" x14ac:dyDescent="0.55000000000000004">
      <c r="B8" s="16"/>
      <c r="C8" s="16"/>
      <c r="D8" s="14"/>
      <c r="E8" s="15"/>
      <c r="F8" s="15"/>
      <c r="G8" s="15"/>
      <c r="H8" s="15"/>
      <c r="I8" s="15"/>
      <c r="J8" s="15"/>
      <c r="K8" s="15"/>
      <c r="L8" s="15"/>
      <c r="M8" s="15"/>
      <c r="N8" s="15"/>
      <c r="O8" s="23"/>
      <c r="P8" s="15"/>
      <c r="Q8" s="25"/>
      <c r="R8" s="25"/>
      <c r="S8" s="25"/>
      <c r="T8" s="25"/>
    </row>
    <row r="9" spans="2:20" x14ac:dyDescent="0.55000000000000004">
      <c r="B9" s="16"/>
      <c r="C9" s="13" t="s">
        <v>24</v>
      </c>
      <c r="D9" s="14" t="s">
        <v>35</v>
      </c>
      <c r="E9" s="15"/>
      <c r="F9" s="15"/>
      <c r="G9" s="15"/>
      <c r="H9" s="15" t="s">
        <v>18</v>
      </c>
      <c r="I9" s="15" t="s">
        <v>17</v>
      </c>
      <c r="J9" s="15" t="s">
        <v>17</v>
      </c>
      <c r="K9" s="15" t="s">
        <v>17</v>
      </c>
      <c r="L9" s="15" t="s">
        <v>17</v>
      </c>
      <c r="M9" s="15" t="s">
        <v>17</v>
      </c>
      <c r="N9" s="15" t="s">
        <v>17</v>
      </c>
      <c r="O9" s="23" t="s">
        <v>17</v>
      </c>
      <c r="P9" s="15" t="s">
        <v>17</v>
      </c>
      <c r="Q9" s="25"/>
      <c r="R9" s="25"/>
      <c r="S9" s="25"/>
      <c r="T9" s="25"/>
    </row>
    <row r="10" spans="2:20" x14ac:dyDescent="0.55000000000000004">
      <c r="B10" s="16"/>
      <c r="C10" s="16"/>
      <c r="D10" s="14" t="s">
        <v>20</v>
      </c>
      <c r="E10" s="15"/>
      <c r="F10" s="15"/>
      <c r="G10" s="15"/>
      <c r="H10" s="15"/>
      <c r="I10" s="15" t="s">
        <v>17</v>
      </c>
      <c r="J10" s="15" t="s">
        <v>18</v>
      </c>
      <c r="K10" s="15" t="s">
        <v>18</v>
      </c>
      <c r="L10" s="15" t="s">
        <v>18</v>
      </c>
      <c r="M10" s="15" t="s">
        <v>18</v>
      </c>
      <c r="N10" s="15" t="s">
        <v>18</v>
      </c>
      <c r="O10" s="23" t="s">
        <v>18</v>
      </c>
      <c r="P10" s="15" t="s">
        <v>18</v>
      </c>
      <c r="Q10" s="25"/>
      <c r="R10" s="25"/>
      <c r="S10" s="25"/>
      <c r="T10" s="25"/>
    </row>
    <row r="11" spans="2:20" x14ac:dyDescent="0.55000000000000004">
      <c r="B11" s="16"/>
      <c r="C11" s="17"/>
      <c r="D11" s="14" t="s">
        <v>28</v>
      </c>
      <c r="E11" s="15"/>
      <c r="F11" s="15"/>
      <c r="G11" s="15"/>
      <c r="H11" s="15"/>
      <c r="I11" s="15"/>
      <c r="J11" s="15" t="s">
        <v>17</v>
      </c>
      <c r="K11" s="15" t="s">
        <v>18</v>
      </c>
      <c r="L11" s="15" t="s">
        <v>18</v>
      </c>
      <c r="M11" s="15" t="s">
        <v>18</v>
      </c>
      <c r="N11" s="15" t="s">
        <v>18</v>
      </c>
      <c r="O11" s="23" t="s">
        <v>18</v>
      </c>
      <c r="P11" s="15" t="s">
        <v>18</v>
      </c>
      <c r="Q11" s="25"/>
      <c r="R11" s="25"/>
      <c r="S11" s="25"/>
      <c r="T11" s="25"/>
    </row>
    <row r="12" spans="2:20" x14ac:dyDescent="0.55000000000000004">
      <c r="B12" s="16"/>
      <c r="C12" s="13" t="s">
        <v>29</v>
      </c>
      <c r="D12" s="14" t="s">
        <v>36</v>
      </c>
      <c r="E12" s="15"/>
      <c r="F12" s="15"/>
      <c r="G12" s="15"/>
      <c r="H12" s="15"/>
      <c r="I12" s="15"/>
      <c r="J12" s="15"/>
      <c r="K12" s="15" t="s">
        <v>18</v>
      </c>
      <c r="L12" s="15" t="s">
        <v>17</v>
      </c>
      <c r="M12" s="15" t="s">
        <v>17</v>
      </c>
      <c r="N12" s="15" t="s">
        <v>17</v>
      </c>
      <c r="O12" s="23" t="s">
        <v>17</v>
      </c>
      <c r="P12" s="15" t="s">
        <v>17</v>
      </c>
      <c r="Q12" s="25"/>
      <c r="R12" s="25"/>
      <c r="S12" s="25"/>
      <c r="T12" s="25"/>
    </row>
    <row r="13" spans="2:20" x14ac:dyDescent="0.55000000000000004">
      <c r="B13" s="16"/>
      <c r="C13" s="16"/>
      <c r="D13" s="14" t="s">
        <v>30</v>
      </c>
      <c r="E13" s="15"/>
      <c r="F13" s="15"/>
      <c r="G13" s="15"/>
      <c r="H13" s="15"/>
      <c r="I13" s="15"/>
      <c r="J13" s="15"/>
      <c r="K13" s="15"/>
      <c r="L13" s="15" t="s">
        <v>17</v>
      </c>
      <c r="M13" s="15" t="s">
        <v>18</v>
      </c>
      <c r="N13" s="15" t="s">
        <v>18</v>
      </c>
      <c r="O13" s="23" t="s">
        <v>18</v>
      </c>
      <c r="P13" s="15" t="s">
        <v>18</v>
      </c>
      <c r="Q13" s="25"/>
      <c r="R13" s="25"/>
      <c r="S13" s="25"/>
      <c r="T13" s="25"/>
    </row>
    <row r="14" spans="2:20" x14ac:dyDescent="0.55000000000000004">
      <c r="B14" s="16"/>
      <c r="C14" s="17"/>
      <c r="D14" s="14" t="s">
        <v>31</v>
      </c>
      <c r="E14" s="15"/>
      <c r="F14" s="15"/>
      <c r="G14" s="15"/>
      <c r="H14" s="15"/>
      <c r="I14" s="15"/>
      <c r="J14" s="15"/>
      <c r="K14" s="15"/>
      <c r="L14" s="15"/>
      <c r="M14" s="15" t="s">
        <v>17</v>
      </c>
      <c r="N14" s="15" t="s">
        <v>18</v>
      </c>
      <c r="O14" s="23" t="s">
        <v>18</v>
      </c>
      <c r="P14" s="15" t="s">
        <v>18</v>
      </c>
      <c r="Q14" s="25"/>
      <c r="R14" s="25"/>
      <c r="S14" s="25"/>
      <c r="T14" s="25"/>
    </row>
    <row r="15" spans="2:20" x14ac:dyDescent="0.55000000000000004">
      <c r="B15" s="16"/>
      <c r="C15" s="16" t="s">
        <v>32</v>
      </c>
      <c r="D15" s="19" t="s">
        <v>37</v>
      </c>
      <c r="E15" s="21"/>
      <c r="F15" s="21"/>
      <c r="G15" s="21"/>
      <c r="H15" s="21"/>
      <c r="I15" s="21"/>
      <c r="J15" s="21"/>
      <c r="K15" s="21"/>
      <c r="L15" s="21"/>
      <c r="M15" s="21"/>
      <c r="N15" s="15" t="s">
        <v>17</v>
      </c>
      <c r="O15" s="23" t="s">
        <v>18</v>
      </c>
      <c r="P15" s="23" t="s">
        <v>18</v>
      </c>
      <c r="Q15" s="26" t="s">
        <v>18</v>
      </c>
      <c r="R15" s="26" t="s">
        <v>17</v>
      </c>
      <c r="S15" s="26" t="s">
        <v>17</v>
      </c>
      <c r="T15" s="26" t="s">
        <v>17</v>
      </c>
    </row>
    <row r="16" spans="2:20" x14ac:dyDescent="0.55000000000000004">
      <c r="B16" s="16"/>
      <c r="C16" s="16"/>
      <c r="D16" s="19" t="s">
        <v>25</v>
      </c>
      <c r="E16" s="21"/>
      <c r="F16" s="21"/>
      <c r="G16" s="21"/>
      <c r="H16" s="21"/>
      <c r="I16" s="21"/>
      <c r="J16" s="21"/>
      <c r="K16" s="21"/>
      <c r="L16" s="21"/>
      <c r="M16" s="21"/>
      <c r="N16" s="21"/>
      <c r="O16" s="24"/>
      <c r="P16" s="21"/>
      <c r="Q16" s="26"/>
      <c r="R16" s="26" t="s">
        <v>17</v>
      </c>
      <c r="S16" s="26" t="s">
        <v>18</v>
      </c>
      <c r="T16" s="26" t="s">
        <v>18</v>
      </c>
    </row>
    <row r="17" spans="2:20" x14ac:dyDescent="0.55000000000000004">
      <c r="B17" s="16"/>
      <c r="C17" s="16"/>
      <c r="D17" s="19" t="s">
        <v>26</v>
      </c>
      <c r="E17" s="21"/>
      <c r="F17" s="21"/>
      <c r="G17" s="21"/>
      <c r="H17" s="21"/>
      <c r="I17" s="21"/>
      <c r="J17" s="21"/>
      <c r="K17" s="21"/>
      <c r="L17" s="21"/>
      <c r="M17" s="21"/>
      <c r="N17" s="21"/>
      <c r="O17" s="24"/>
      <c r="P17" s="21"/>
      <c r="Q17" s="26"/>
      <c r="R17" s="26"/>
      <c r="S17" s="26" t="s">
        <v>17</v>
      </c>
      <c r="T17" s="26" t="s">
        <v>18</v>
      </c>
    </row>
    <row r="18" spans="2:20" x14ac:dyDescent="0.55000000000000004">
      <c r="B18" s="16"/>
      <c r="C18" s="16"/>
      <c r="D18" s="14" t="s">
        <v>34</v>
      </c>
      <c r="E18" s="15"/>
      <c r="F18" s="15"/>
      <c r="G18" s="15"/>
      <c r="H18" s="15"/>
      <c r="I18" s="15"/>
      <c r="J18" s="15"/>
      <c r="K18" s="15"/>
      <c r="L18" s="15"/>
      <c r="M18" s="15"/>
      <c r="N18" s="15"/>
      <c r="O18" s="15" t="s">
        <v>17</v>
      </c>
      <c r="P18" s="23" t="s">
        <v>18</v>
      </c>
      <c r="Q18" s="25"/>
      <c r="R18" s="25"/>
      <c r="S18" s="25"/>
      <c r="T18" s="25"/>
    </row>
    <row r="19" spans="2:20" x14ac:dyDescent="0.55000000000000004">
      <c r="B19" s="16"/>
      <c r="C19" s="16"/>
      <c r="D19" s="14"/>
      <c r="E19" s="15"/>
      <c r="F19" s="15"/>
      <c r="G19" s="15"/>
      <c r="H19" s="15"/>
      <c r="I19" s="15"/>
      <c r="J19" s="15"/>
      <c r="K19" s="15"/>
      <c r="L19" s="15"/>
      <c r="M19" s="15"/>
      <c r="N19" s="15"/>
      <c r="O19" s="23"/>
      <c r="P19" s="15"/>
      <c r="Q19" s="25"/>
      <c r="R19" s="25"/>
      <c r="S19" s="25"/>
      <c r="T19" s="25"/>
    </row>
    <row r="20" spans="2:20" x14ac:dyDescent="0.55000000000000004">
      <c r="B20" s="13" t="s">
        <v>21</v>
      </c>
      <c r="C20" s="13" t="s">
        <v>7</v>
      </c>
      <c r="D20" s="14" t="s">
        <v>39</v>
      </c>
      <c r="E20" s="15" t="s">
        <v>18</v>
      </c>
      <c r="F20" s="15" t="s">
        <v>18</v>
      </c>
      <c r="G20" s="15" t="s">
        <v>18</v>
      </c>
      <c r="H20" s="15" t="s">
        <v>18</v>
      </c>
      <c r="I20" s="15" t="s">
        <v>18</v>
      </c>
      <c r="J20" s="15" t="s">
        <v>18</v>
      </c>
      <c r="K20" s="15" t="s">
        <v>18</v>
      </c>
      <c r="L20" s="15" t="s">
        <v>18</v>
      </c>
      <c r="M20" s="15" t="s">
        <v>18</v>
      </c>
      <c r="N20" s="15" t="s">
        <v>18</v>
      </c>
      <c r="O20" s="15" t="s">
        <v>18</v>
      </c>
      <c r="P20" s="15"/>
      <c r="Q20" s="25" t="s">
        <v>18</v>
      </c>
      <c r="R20" s="25" t="s">
        <v>18</v>
      </c>
      <c r="S20" s="25" t="s">
        <v>18</v>
      </c>
      <c r="T20" s="25"/>
    </row>
    <row r="21" spans="2:20" x14ac:dyDescent="0.55000000000000004">
      <c r="B21" s="16"/>
      <c r="C21" s="16"/>
      <c r="D21" s="14" t="s">
        <v>38</v>
      </c>
      <c r="E21" s="15"/>
      <c r="F21" s="15"/>
      <c r="G21" s="15"/>
      <c r="H21" s="15"/>
      <c r="I21" s="15"/>
      <c r="J21" s="15"/>
      <c r="K21" s="15"/>
      <c r="L21" s="15"/>
      <c r="M21" s="15"/>
      <c r="N21" s="15"/>
      <c r="O21" s="23"/>
      <c r="P21" s="15" t="s">
        <v>18</v>
      </c>
      <c r="Q21" s="25"/>
      <c r="R21" s="25"/>
      <c r="S21" s="25"/>
      <c r="T21" s="25" t="s">
        <v>18</v>
      </c>
    </row>
    <row r="22" spans="2:20" x14ac:dyDescent="0.55000000000000004">
      <c r="B22" s="16"/>
      <c r="C22" s="17"/>
      <c r="D22" s="18"/>
      <c r="E22" s="15"/>
      <c r="F22" s="15"/>
      <c r="G22" s="15"/>
      <c r="H22" s="15"/>
      <c r="I22" s="15"/>
      <c r="J22" s="15"/>
      <c r="K22" s="15"/>
      <c r="L22" s="15"/>
      <c r="M22" s="15"/>
      <c r="N22" s="15"/>
      <c r="O22" s="23"/>
      <c r="P22" s="15"/>
      <c r="Q22" s="25"/>
      <c r="R22" s="25"/>
      <c r="S22" s="25"/>
      <c r="T22" s="25"/>
    </row>
    <row r="23" spans="2:20" x14ac:dyDescent="0.55000000000000004">
      <c r="B23" s="16"/>
      <c r="C23" s="16" t="s">
        <v>22</v>
      </c>
      <c r="D23" s="18" t="s">
        <v>46</v>
      </c>
      <c r="E23" s="15" t="s">
        <v>18</v>
      </c>
      <c r="F23" s="15"/>
      <c r="G23" s="15"/>
      <c r="H23" s="15"/>
      <c r="I23" s="15"/>
      <c r="J23" s="15"/>
      <c r="K23" s="15"/>
      <c r="L23" s="15"/>
      <c r="M23" s="15"/>
      <c r="N23" s="15"/>
      <c r="O23" s="23"/>
      <c r="P23" s="15"/>
      <c r="Q23" s="25"/>
      <c r="R23" s="25"/>
      <c r="S23" s="25"/>
      <c r="T23" s="25"/>
    </row>
    <row r="24" spans="2:20" x14ac:dyDescent="0.55000000000000004">
      <c r="B24" s="16"/>
      <c r="C24" s="16"/>
      <c r="D24" s="18" t="s">
        <v>47</v>
      </c>
      <c r="E24" s="15"/>
      <c r="F24" s="15" t="s">
        <v>18</v>
      </c>
      <c r="G24" s="15"/>
      <c r="H24" s="15"/>
      <c r="I24" s="15"/>
      <c r="J24" s="15"/>
      <c r="K24" s="15"/>
      <c r="L24" s="15"/>
      <c r="M24" s="15"/>
      <c r="N24" s="15"/>
      <c r="O24" s="23"/>
      <c r="P24" s="15"/>
      <c r="Q24" s="25"/>
      <c r="R24" s="25"/>
      <c r="S24" s="25"/>
      <c r="T24" s="25"/>
    </row>
    <row r="25" spans="2:20" x14ac:dyDescent="0.55000000000000004">
      <c r="B25" s="16"/>
      <c r="C25" s="16"/>
      <c r="D25" s="14" t="s">
        <v>48</v>
      </c>
      <c r="E25" s="15"/>
      <c r="F25" s="15"/>
      <c r="G25" s="15" t="s">
        <v>18</v>
      </c>
      <c r="H25" s="15"/>
      <c r="I25" s="15"/>
      <c r="J25" s="15"/>
      <c r="K25" s="15"/>
      <c r="L25" s="15"/>
      <c r="M25" s="15"/>
      <c r="N25" s="15"/>
      <c r="O25" s="23"/>
      <c r="P25" s="15"/>
      <c r="Q25" s="25"/>
      <c r="R25" s="25"/>
      <c r="S25" s="25"/>
      <c r="T25" s="25"/>
    </row>
    <row r="26" spans="2:20" x14ac:dyDescent="0.55000000000000004">
      <c r="B26" s="16"/>
      <c r="C26" s="16"/>
      <c r="D26" s="14" t="s">
        <v>49</v>
      </c>
      <c r="E26" s="15"/>
      <c r="F26" s="15"/>
      <c r="G26" s="15"/>
      <c r="H26" s="15" t="s">
        <v>18</v>
      </c>
      <c r="I26" s="15"/>
      <c r="J26" s="15"/>
      <c r="K26" s="15"/>
      <c r="L26" s="15"/>
      <c r="M26" s="15"/>
      <c r="N26" s="15"/>
      <c r="O26" s="23"/>
      <c r="P26" s="15"/>
      <c r="Q26" s="25"/>
      <c r="R26" s="25"/>
      <c r="S26" s="25"/>
      <c r="T26" s="25"/>
    </row>
    <row r="27" spans="2:20" x14ac:dyDescent="0.55000000000000004">
      <c r="B27" s="16"/>
      <c r="C27" s="16"/>
      <c r="D27" s="14" t="s">
        <v>53</v>
      </c>
      <c r="E27" s="15"/>
      <c r="F27" s="15"/>
      <c r="G27" s="15"/>
      <c r="H27" s="15"/>
      <c r="I27" s="15" t="s">
        <v>18</v>
      </c>
      <c r="J27" s="15"/>
      <c r="K27" s="15"/>
      <c r="L27" s="15"/>
      <c r="M27" s="15"/>
      <c r="N27" s="15"/>
      <c r="O27" s="23"/>
      <c r="P27" s="15"/>
      <c r="Q27" s="25"/>
      <c r="R27" s="25"/>
      <c r="S27" s="25"/>
      <c r="T27" s="25"/>
    </row>
    <row r="28" spans="2:20" x14ac:dyDescent="0.55000000000000004">
      <c r="B28" s="16"/>
      <c r="C28" s="16"/>
      <c r="D28" s="14" t="s">
        <v>50</v>
      </c>
      <c r="E28" s="15"/>
      <c r="F28" s="15"/>
      <c r="G28" s="15"/>
      <c r="H28" s="15"/>
      <c r="I28" s="15"/>
      <c r="J28" s="15" t="s">
        <v>18</v>
      </c>
      <c r="K28" s="15"/>
      <c r="L28" s="15"/>
      <c r="M28" s="15"/>
      <c r="N28" s="15"/>
      <c r="O28" s="23"/>
      <c r="P28" s="15"/>
      <c r="Q28" s="25"/>
      <c r="R28" s="25"/>
      <c r="S28" s="25"/>
      <c r="T28" s="25"/>
    </row>
    <row r="29" spans="2:20" x14ac:dyDescent="0.55000000000000004">
      <c r="B29" s="16"/>
      <c r="C29" s="16"/>
      <c r="D29" s="14" t="s">
        <v>51</v>
      </c>
      <c r="E29" s="15"/>
      <c r="F29" s="15"/>
      <c r="G29" s="15"/>
      <c r="H29" s="15"/>
      <c r="I29" s="15"/>
      <c r="J29" s="15"/>
      <c r="K29" s="15" t="s">
        <v>18</v>
      </c>
      <c r="L29" s="15"/>
      <c r="M29" s="15"/>
      <c r="N29" s="15"/>
      <c r="O29" s="23"/>
      <c r="P29" s="15"/>
      <c r="Q29" s="25"/>
      <c r="R29" s="25"/>
      <c r="S29" s="25"/>
      <c r="T29" s="25"/>
    </row>
    <row r="30" spans="2:20" x14ac:dyDescent="0.55000000000000004">
      <c r="B30" s="16"/>
      <c r="C30" s="16"/>
      <c r="D30" s="14" t="s">
        <v>52</v>
      </c>
      <c r="E30" s="15"/>
      <c r="F30" s="15"/>
      <c r="G30" s="15"/>
      <c r="H30" s="15"/>
      <c r="I30" s="15"/>
      <c r="J30" s="15"/>
      <c r="K30" s="15"/>
      <c r="L30" s="15" t="s">
        <v>18</v>
      </c>
      <c r="M30" s="15"/>
      <c r="N30" s="15"/>
      <c r="O30" s="23"/>
      <c r="P30" s="15"/>
      <c r="Q30" s="25"/>
      <c r="R30" s="25"/>
      <c r="S30" s="25"/>
      <c r="T30" s="25"/>
    </row>
    <row r="31" spans="2:20" x14ac:dyDescent="0.55000000000000004">
      <c r="B31" s="16"/>
      <c r="C31" s="16"/>
      <c r="D31" s="14" t="s">
        <v>54</v>
      </c>
      <c r="E31" s="15"/>
      <c r="F31" s="15"/>
      <c r="G31" s="15"/>
      <c r="H31" s="15"/>
      <c r="I31" s="15"/>
      <c r="J31" s="15"/>
      <c r="K31" s="15"/>
      <c r="L31" s="15"/>
      <c r="M31" s="15" t="s">
        <v>18</v>
      </c>
      <c r="N31" s="15"/>
      <c r="O31" s="23"/>
      <c r="P31" s="15"/>
      <c r="Q31" s="25"/>
      <c r="R31" s="25"/>
      <c r="S31" s="25"/>
      <c r="T31" s="25"/>
    </row>
    <row r="32" spans="2:20" x14ac:dyDescent="0.55000000000000004">
      <c r="B32" s="16"/>
      <c r="C32" s="16"/>
      <c r="D32" s="14" t="s">
        <v>55</v>
      </c>
      <c r="E32" s="15"/>
      <c r="F32" s="15"/>
      <c r="G32" s="15"/>
      <c r="H32" s="15"/>
      <c r="I32" s="15"/>
      <c r="J32" s="15"/>
      <c r="K32" s="15"/>
      <c r="L32" s="15"/>
      <c r="M32" s="15"/>
      <c r="N32" s="15" t="s">
        <v>18</v>
      </c>
      <c r="O32" s="15"/>
      <c r="P32" s="15"/>
      <c r="Q32" s="25" t="s">
        <v>18</v>
      </c>
      <c r="R32" s="25"/>
      <c r="S32" s="25"/>
      <c r="T32" s="25"/>
    </row>
    <row r="33" spans="2:20" x14ac:dyDescent="0.55000000000000004">
      <c r="B33" s="16"/>
      <c r="C33" s="16"/>
      <c r="D33" s="14" t="s">
        <v>56</v>
      </c>
      <c r="E33" s="15"/>
      <c r="F33" s="15"/>
      <c r="G33" s="15"/>
      <c r="H33" s="15"/>
      <c r="I33" s="15"/>
      <c r="J33" s="15"/>
      <c r="K33" s="15"/>
      <c r="L33" s="15"/>
      <c r="M33" s="15"/>
      <c r="N33" s="15"/>
      <c r="O33" s="15" t="s">
        <v>18</v>
      </c>
      <c r="P33" s="15"/>
      <c r="Q33" s="25"/>
      <c r="R33" s="25"/>
      <c r="S33" s="25"/>
      <c r="T33" s="25"/>
    </row>
    <row r="34" spans="2:20" x14ac:dyDescent="0.55000000000000004">
      <c r="B34" s="16"/>
      <c r="C34" s="16"/>
      <c r="D34" s="14" t="s">
        <v>58</v>
      </c>
      <c r="E34" s="5"/>
      <c r="F34" s="5"/>
      <c r="G34" s="5"/>
      <c r="H34" s="5"/>
      <c r="I34" s="5"/>
      <c r="J34" s="5"/>
      <c r="K34" s="5"/>
      <c r="L34" s="5"/>
      <c r="M34" s="5"/>
      <c r="N34" s="5"/>
      <c r="O34" s="5"/>
      <c r="P34" s="5"/>
      <c r="Q34" s="28"/>
      <c r="R34" s="28" t="s">
        <v>18</v>
      </c>
      <c r="S34" s="28"/>
      <c r="T34" s="3"/>
    </row>
    <row r="35" spans="2:20" x14ac:dyDescent="0.55000000000000004">
      <c r="B35" s="16"/>
      <c r="C35" s="16"/>
      <c r="D35" s="14" t="s">
        <v>59</v>
      </c>
      <c r="E35" s="5"/>
      <c r="F35" s="5"/>
      <c r="G35" s="5"/>
      <c r="H35" s="5"/>
      <c r="I35" s="5"/>
      <c r="J35" s="5"/>
      <c r="K35" s="5"/>
      <c r="L35" s="5"/>
      <c r="M35" s="5"/>
      <c r="N35" s="5"/>
      <c r="O35" s="5"/>
      <c r="P35" s="5"/>
      <c r="Q35" s="28"/>
      <c r="R35" s="28"/>
      <c r="S35" s="28" t="s">
        <v>18</v>
      </c>
      <c r="T35" s="3"/>
    </row>
  </sheetData>
  <mergeCells count="2">
    <mergeCell ref="E2:O2"/>
    <mergeCell ref="P2:T2"/>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FF5D4-87A4-4A56-933C-40BCFA2A0391}">
  <dimension ref="B2:H19"/>
  <sheetViews>
    <sheetView topLeftCell="A7" workbookViewId="0">
      <selection activeCell="C16" sqref="C16:E19"/>
    </sheetView>
  </sheetViews>
  <sheetFormatPr defaultRowHeight="18" x14ac:dyDescent="0.55000000000000004"/>
  <cols>
    <col min="3" max="3" width="19.33203125" customWidth="1"/>
    <col min="4" max="6" width="19.4140625" customWidth="1"/>
    <col min="7" max="7" width="23.08203125" customWidth="1"/>
    <col min="8" max="8" width="46.75" customWidth="1"/>
  </cols>
  <sheetData>
    <row r="2" spans="2:8" x14ac:dyDescent="0.55000000000000004">
      <c r="B2" s="30" t="s">
        <v>62</v>
      </c>
      <c r="C2" s="31" t="s">
        <v>63</v>
      </c>
      <c r="D2" s="32"/>
      <c r="E2" s="32"/>
      <c r="F2" s="32"/>
      <c r="G2" s="32" t="s">
        <v>64</v>
      </c>
      <c r="H2" s="32"/>
    </row>
    <row r="3" spans="2:8" x14ac:dyDescent="0.55000000000000004">
      <c r="B3" s="29"/>
      <c r="C3" s="33" t="s">
        <v>23</v>
      </c>
      <c r="D3" s="34" t="s">
        <v>24</v>
      </c>
      <c r="E3" s="34" t="s">
        <v>29</v>
      </c>
      <c r="F3" s="34" t="s">
        <v>68</v>
      </c>
      <c r="G3" s="34" t="s">
        <v>7</v>
      </c>
      <c r="H3" s="34" t="s">
        <v>65</v>
      </c>
    </row>
    <row r="4" spans="2:8" x14ac:dyDescent="0.55000000000000004">
      <c r="B4" s="18">
        <v>1</v>
      </c>
      <c r="C4" s="14" t="s">
        <v>23</v>
      </c>
      <c r="D4" s="35" t="s">
        <v>69</v>
      </c>
      <c r="E4" s="14">
        <v>123456789</v>
      </c>
      <c r="F4" s="14" t="s">
        <v>70</v>
      </c>
      <c r="G4" s="14" t="s">
        <v>82</v>
      </c>
      <c r="H4" s="14" t="s">
        <v>19</v>
      </c>
    </row>
    <row r="5" spans="2:8" x14ac:dyDescent="0.55000000000000004">
      <c r="B5" s="14">
        <v>2</v>
      </c>
      <c r="C5" s="14" t="s">
        <v>66</v>
      </c>
      <c r="D5" s="14"/>
      <c r="E5" s="14"/>
      <c r="F5" s="14"/>
      <c r="G5" s="14" t="s">
        <v>81</v>
      </c>
      <c r="H5" s="14" t="s">
        <v>46</v>
      </c>
    </row>
    <row r="6" spans="2:8" x14ac:dyDescent="0.55000000000000004">
      <c r="B6" s="14">
        <v>3</v>
      </c>
      <c r="C6" s="14" t="s">
        <v>67</v>
      </c>
      <c r="D6" s="14"/>
      <c r="E6" s="14"/>
      <c r="F6" s="14"/>
      <c r="G6" s="14" t="s">
        <v>81</v>
      </c>
      <c r="H6" s="36" t="s">
        <v>47</v>
      </c>
    </row>
    <row r="7" spans="2:8" x14ac:dyDescent="0.55000000000000004">
      <c r="B7" s="14">
        <v>4</v>
      </c>
      <c r="C7" s="14" t="s">
        <v>74</v>
      </c>
      <c r="D7" s="14"/>
      <c r="E7" s="14"/>
      <c r="F7" s="14"/>
      <c r="G7" s="14" t="s">
        <v>81</v>
      </c>
      <c r="H7" s="18" t="s">
        <v>48</v>
      </c>
    </row>
    <row r="8" spans="2:8" x14ac:dyDescent="0.55000000000000004">
      <c r="B8" s="14">
        <v>5</v>
      </c>
      <c r="C8" s="14" t="s">
        <v>23</v>
      </c>
      <c r="D8" s="14" t="s">
        <v>66</v>
      </c>
      <c r="E8" s="14"/>
      <c r="F8" s="14"/>
      <c r="G8" s="14" t="s">
        <v>81</v>
      </c>
      <c r="H8" s="14" t="s">
        <v>49</v>
      </c>
    </row>
    <row r="9" spans="2:8" x14ac:dyDescent="0.55000000000000004">
      <c r="B9" s="14">
        <v>6</v>
      </c>
      <c r="C9" s="14" t="s">
        <v>23</v>
      </c>
      <c r="D9" s="14" t="s">
        <v>75</v>
      </c>
      <c r="E9" s="14"/>
      <c r="F9" s="14"/>
      <c r="G9" s="14" t="s">
        <v>81</v>
      </c>
      <c r="H9" s="14" t="s">
        <v>71</v>
      </c>
    </row>
    <row r="10" spans="2:8" x14ac:dyDescent="0.55000000000000004">
      <c r="B10" s="14">
        <v>7</v>
      </c>
      <c r="C10" s="14" t="s">
        <v>23</v>
      </c>
      <c r="D10" s="14" t="s">
        <v>76</v>
      </c>
      <c r="E10" s="14"/>
      <c r="F10" s="14"/>
      <c r="G10" s="14" t="s">
        <v>81</v>
      </c>
      <c r="H10" s="14" t="s">
        <v>72</v>
      </c>
    </row>
    <row r="11" spans="2:8" x14ac:dyDescent="0.55000000000000004">
      <c r="B11" s="14">
        <v>8</v>
      </c>
      <c r="C11" s="14" t="s">
        <v>23</v>
      </c>
      <c r="D11" s="35" t="s">
        <v>69</v>
      </c>
      <c r="E11" s="14" t="s">
        <v>66</v>
      </c>
      <c r="F11" s="14"/>
      <c r="G11" s="14" t="s">
        <v>81</v>
      </c>
      <c r="H11" s="36" t="s">
        <v>51</v>
      </c>
    </row>
    <row r="12" spans="2:8" x14ac:dyDescent="0.55000000000000004">
      <c r="B12" s="14">
        <v>9</v>
      </c>
      <c r="C12" s="14" t="s">
        <v>23</v>
      </c>
      <c r="D12" s="35" t="s">
        <v>69</v>
      </c>
      <c r="E12" s="14" t="s">
        <v>75</v>
      </c>
      <c r="F12" s="14"/>
      <c r="G12" s="14" t="s">
        <v>81</v>
      </c>
      <c r="H12" s="18" t="s">
        <v>52</v>
      </c>
    </row>
    <row r="13" spans="2:8" x14ac:dyDescent="0.55000000000000004">
      <c r="B13" s="14">
        <v>10</v>
      </c>
      <c r="C13" s="14" t="s">
        <v>23</v>
      </c>
      <c r="D13" s="35" t="s">
        <v>69</v>
      </c>
      <c r="E13" s="14" t="s">
        <v>77</v>
      </c>
      <c r="F13" s="14"/>
      <c r="G13" s="14" t="s">
        <v>81</v>
      </c>
      <c r="H13" s="14" t="s">
        <v>73</v>
      </c>
    </row>
    <row r="14" spans="2:8" x14ac:dyDescent="0.55000000000000004">
      <c r="B14" s="14">
        <v>11</v>
      </c>
      <c r="C14" s="14" t="s">
        <v>23</v>
      </c>
      <c r="D14" s="35" t="s">
        <v>69</v>
      </c>
      <c r="E14" s="14">
        <v>123456789</v>
      </c>
      <c r="F14" s="14" t="s">
        <v>66</v>
      </c>
      <c r="G14" s="14" t="s">
        <v>81</v>
      </c>
      <c r="H14" s="14" t="s">
        <v>55</v>
      </c>
    </row>
    <row r="15" spans="2:8" x14ac:dyDescent="0.55000000000000004">
      <c r="B15" s="14">
        <v>12</v>
      </c>
      <c r="C15" s="14" t="s">
        <v>23</v>
      </c>
      <c r="D15" s="35" t="s">
        <v>69</v>
      </c>
      <c r="E15" s="14">
        <v>123456789</v>
      </c>
      <c r="F15" s="4" t="s">
        <v>78</v>
      </c>
      <c r="G15" s="14" t="s">
        <v>81</v>
      </c>
      <c r="H15" s="14" t="s">
        <v>56</v>
      </c>
    </row>
    <row r="16" spans="2:8" x14ac:dyDescent="0.55000000000000004">
      <c r="B16" s="19">
        <v>1</v>
      </c>
      <c r="C16" s="85"/>
      <c r="D16" s="86"/>
      <c r="E16" s="87"/>
      <c r="F16" s="19" t="s">
        <v>83</v>
      </c>
      <c r="G16" s="19" t="s">
        <v>82</v>
      </c>
      <c r="H16" s="19" t="s">
        <v>55</v>
      </c>
    </row>
    <row r="17" spans="2:8" x14ac:dyDescent="0.55000000000000004">
      <c r="B17" s="19">
        <v>2</v>
      </c>
      <c r="C17" s="88"/>
      <c r="D17" s="89"/>
      <c r="E17" s="90"/>
      <c r="F17" s="19" t="s">
        <v>66</v>
      </c>
      <c r="G17" s="19" t="s">
        <v>81</v>
      </c>
      <c r="H17" s="19" t="s">
        <v>55</v>
      </c>
    </row>
    <row r="18" spans="2:8" x14ac:dyDescent="0.55000000000000004">
      <c r="B18" s="19">
        <v>3</v>
      </c>
      <c r="C18" s="88"/>
      <c r="D18" s="89"/>
      <c r="E18" s="90"/>
      <c r="F18" s="19" t="s">
        <v>79</v>
      </c>
      <c r="G18" s="19" t="s">
        <v>81</v>
      </c>
      <c r="H18" s="19" t="s">
        <v>58</v>
      </c>
    </row>
    <row r="19" spans="2:8" x14ac:dyDescent="0.55000000000000004">
      <c r="B19" s="19">
        <v>4</v>
      </c>
      <c r="C19" s="91"/>
      <c r="D19" s="92"/>
      <c r="E19" s="93"/>
      <c r="F19" s="19" t="s">
        <v>80</v>
      </c>
      <c r="G19" s="19" t="s">
        <v>81</v>
      </c>
      <c r="H19" s="19" t="s">
        <v>59</v>
      </c>
    </row>
  </sheetData>
  <mergeCells count="1">
    <mergeCell ref="C16:E19"/>
  </mergeCells>
  <phoneticPr fontId="1"/>
  <hyperlinks>
    <hyperlink ref="D4" r:id="rId1" xr:uid="{6B6A3E1D-CA1E-4BFB-9E5B-C58B00DB6BD1}"/>
    <hyperlink ref="D11:D15" r:id="rId2" display="mailadress@mail" xr:uid="{CEC2AD7E-95C6-479E-9CCF-A037A6D8DCD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1AE33-BC44-4985-A915-19196D7E0EA8}">
  <sheetPr>
    <pageSetUpPr fitToPage="1"/>
  </sheetPr>
  <dimension ref="A1:BL62"/>
  <sheetViews>
    <sheetView showGridLines="0" showRuler="0" zoomScale="61" zoomScaleNormal="100" zoomScalePageLayoutView="70" workbookViewId="0">
      <pane ySplit="3" topLeftCell="A5" activePane="bottomLeft" state="frozen"/>
      <selection pane="bottomLeft" activeCell="E8" sqref="E8"/>
    </sheetView>
  </sheetViews>
  <sheetFormatPr defaultRowHeight="30" customHeight="1" x14ac:dyDescent="0.35"/>
  <cols>
    <col min="1" max="1" width="3" style="39" customWidth="1"/>
    <col min="2" max="2" width="43.75" style="38" customWidth="1"/>
    <col min="3" max="5" width="11.9140625" style="40" customWidth="1"/>
    <col min="6" max="6" width="11.9140625" style="38" customWidth="1"/>
    <col min="7" max="7" width="3" style="38" customWidth="1"/>
    <col min="8" max="8" width="7" style="38" hidden="1" customWidth="1"/>
    <col min="9" max="64" width="2.83203125" style="38" customWidth="1"/>
    <col min="65" max="16384" width="8.6640625" style="38"/>
  </cols>
  <sheetData>
    <row r="1" spans="1:64" ht="30" customHeight="1" x14ac:dyDescent="0.35">
      <c r="A1" s="37" t="s">
        <v>84</v>
      </c>
      <c r="C1" s="41">
        <v>1</v>
      </c>
      <c r="D1" s="80"/>
      <c r="E1" s="80"/>
      <c r="I1" s="94">
        <v>46162</v>
      </c>
      <c r="J1" s="95"/>
      <c r="K1" s="95"/>
      <c r="L1" s="95"/>
      <c r="M1" s="95"/>
      <c r="N1" s="95"/>
      <c r="O1" s="96"/>
      <c r="P1" s="94">
        <v>46163</v>
      </c>
      <c r="Q1" s="95"/>
      <c r="R1" s="95"/>
      <c r="S1" s="95"/>
      <c r="T1" s="95"/>
      <c r="U1" s="95"/>
      <c r="V1" s="96"/>
      <c r="W1" s="94">
        <v>46164</v>
      </c>
      <c r="X1" s="95"/>
      <c r="Y1" s="95"/>
      <c r="Z1" s="95"/>
      <c r="AA1" s="95"/>
      <c r="AB1" s="95"/>
      <c r="AC1" s="96"/>
      <c r="AD1" s="94">
        <v>46167</v>
      </c>
      <c r="AE1" s="95"/>
      <c r="AF1" s="95"/>
      <c r="AG1" s="95"/>
      <c r="AH1" s="95"/>
      <c r="AI1" s="95"/>
      <c r="AJ1" s="96"/>
      <c r="AK1" s="94">
        <v>46168</v>
      </c>
      <c r="AL1" s="95"/>
      <c r="AM1" s="95"/>
      <c r="AN1" s="95"/>
      <c r="AO1" s="95"/>
      <c r="AP1" s="95"/>
      <c r="AQ1" s="96"/>
      <c r="AR1" s="94">
        <v>46169</v>
      </c>
      <c r="AS1" s="95"/>
      <c r="AT1" s="95"/>
      <c r="AU1" s="95"/>
      <c r="AV1" s="95"/>
      <c r="AW1" s="95"/>
      <c r="AX1" s="96"/>
      <c r="AY1" s="94">
        <v>46170</v>
      </c>
      <c r="AZ1" s="95"/>
      <c r="BA1" s="95"/>
      <c r="BB1" s="95"/>
      <c r="BC1" s="95"/>
      <c r="BD1" s="95"/>
      <c r="BE1" s="96"/>
      <c r="BF1" s="94">
        <v>46171</v>
      </c>
      <c r="BG1" s="95"/>
      <c r="BH1" s="95"/>
      <c r="BI1" s="95"/>
      <c r="BJ1" s="95"/>
      <c r="BK1" s="95"/>
      <c r="BL1" s="96"/>
    </row>
    <row r="2" spans="1:64" ht="15" customHeight="1" x14ac:dyDescent="0.35">
      <c r="A2" s="37" t="s">
        <v>85</v>
      </c>
      <c r="B2" s="42"/>
      <c r="C2" s="42"/>
      <c r="D2" s="42"/>
      <c r="E2" s="42"/>
      <c r="F2" s="42"/>
      <c r="G2" s="42"/>
      <c r="I2" s="43">
        <v>10</v>
      </c>
      <c r="J2" s="44">
        <f>I2+1</f>
        <v>11</v>
      </c>
      <c r="K2" s="44">
        <f t="shared" ref="K2:O2" si="0">J2+1</f>
        <v>12</v>
      </c>
      <c r="L2" s="44">
        <f t="shared" si="0"/>
        <v>13</v>
      </c>
      <c r="M2" s="44">
        <f t="shared" si="0"/>
        <v>14</v>
      </c>
      <c r="N2" s="44">
        <f t="shared" si="0"/>
        <v>15</v>
      </c>
      <c r="O2" s="45">
        <f t="shared" si="0"/>
        <v>16</v>
      </c>
      <c r="P2" s="43">
        <v>10</v>
      </c>
      <c r="Q2" s="44">
        <f>P2+1</f>
        <v>11</v>
      </c>
      <c r="R2" s="44">
        <f t="shared" ref="R2:V2" si="1">Q2+1</f>
        <v>12</v>
      </c>
      <c r="S2" s="44">
        <f t="shared" si="1"/>
        <v>13</v>
      </c>
      <c r="T2" s="44">
        <f t="shared" si="1"/>
        <v>14</v>
      </c>
      <c r="U2" s="44">
        <f t="shared" si="1"/>
        <v>15</v>
      </c>
      <c r="V2" s="45">
        <f t="shared" si="1"/>
        <v>16</v>
      </c>
      <c r="W2" s="43">
        <v>10</v>
      </c>
      <c r="X2" s="44">
        <f>W2+1</f>
        <v>11</v>
      </c>
      <c r="Y2" s="44">
        <f t="shared" ref="Y2:AC2" si="2">X2+1</f>
        <v>12</v>
      </c>
      <c r="Z2" s="44">
        <f t="shared" si="2"/>
        <v>13</v>
      </c>
      <c r="AA2" s="44">
        <f t="shared" si="2"/>
        <v>14</v>
      </c>
      <c r="AB2" s="44">
        <f t="shared" si="2"/>
        <v>15</v>
      </c>
      <c r="AC2" s="45">
        <f t="shared" si="2"/>
        <v>16</v>
      </c>
      <c r="AD2" s="43">
        <v>10</v>
      </c>
      <c r="AE2" s="44">
        <f>AD2+1</f>
        <v>11</v>
      </c>
      <c r="AF2" s="44">
        <f t="shared" ref="AF2:AJ2" si="3">AE2+1</f>
        <v>12</v>
      </c>
      <c r="AG2" s="44">
        <f t="shared" si="3"/>
        <v>13</v>
      </c>
      <c r="AH2" s="44">
        <f t="shared" si="3"/>
        <v>14</v>
      </c>
      <c r="AI2" s="44">
        <f t="shared" si="3"/>
        <v>15</v>
      </c>
      <c r="AJ2" s="45">
        <f t="shared" si="3"/>
        <v>16</v>
      </c>
      <c r="AK2" s="43">
        <v>10</v>
      </c>
      <c r="AL2" s="44">
        <f>AK2+1</f>
        <v>11</v>
      </c>
      <c r="AM2" s="44">
        <f t="shared" ref="AM2:AQ2" si="4">AL2+1</f>
        <v>12</v>
      </c>
      <c r="AN2" s="44">
        <f t="shared" si="4"/>
        <v>13</v>
      </c>
      <c r="AO2" s="44">
        <f t="shared" si="4"/>
        <v>14</v>
      </c>
      <c r="AP2" s="44">
        <f t="shared" si="4"/>
        <v>15</v>
      </c>
      <c r="AQ2" s="45">
        <f t="shared" si="4"/>
        <v>16</v>
      </c>
      <c r="AR2" s="43">
        <v>10</v>
      </c>
      <c r="AS2" s="44">
        <f>AR2+1</f>
        <v>11</v>
      </c>
      <c r="AT2" s="44">
        <f t="shared" ref="AT2:AX2" si="5">AS2+1</f>
        <v>12</v>
      </c>
      <c r="AU2" s="44">
        <f t="shared" si="5"/>
        <v>13</v>
      </c>
      <c r="AV2" s="44">
        <f t="shared" si="5"/>
        <v>14</v>
      </c>
      <c r="AW2" s="44">
        <f t="shared" si="5"/>
        <v>15</v>
      </c>
      <c r="AX2" s="45">
        <f t="shared" si="5"/>
        <v>16</v>
      </c>
      <c r="AY2" s="43">
        <v>10</v>
      </c>
      <c r="AZ2" s="44">
        <f>AY2+1</f>
        <v>11</v>
      </c>
      <c r="BA2" s="44">
        <f t="shared" ref="BA2:BE2" si="6">AZ2+1</f>
        <v>12</v>
      </c>
      <c r="BB2" s="44">
        <f t="shared" si="6"/>
        <v>13</v>
      </c>
      <c r="BC2" s="44">
        <f t="shared" si="6"/>
        <v>14</v>
      </c>
      <c r="BD2" s="44">
        <f t="shared" si="6"/>
        <v>15</v>
      </c>
      <c r="BE2" s="45">
        <f t="shared" si="6"/>
        <v>16</v>
      </c>
      <c r="BF2" s="43">
        <v>10</v>
      </c>
      <c r="BG2" s="44">
        <f>BF2+1</f>
        <v>11</v>
      </c>
      <c r="BH2" s="44">
        <f t="shared" ref="BH2:BL2" si="7">BG2+1</f>
        <v>12</v>
      </c>
      <c r="BI2" s="44">
        <f t="shared" si="7"/>
        <v>13</v>
      </c>
      <c r="BJ2" s="44">
        <f t="shared" si="7"/>
        <v>14</v>
      </c>
      <c r="BK2" s="44">
        <f t="shared" si="7"/>
        <v>15</v>
      </c>
      <c r="BL2" s="45">
        <f t="shared" si="7"/>
        <v>16</v>
      </c>
    </row>
    <row r="3" spans="1:64" ht="30" customHeight="1" thickBot="1" x14ac:dyDescent="0.4">
      <c r="A3" s="37" t="s">
        <v>86</v>
      </c>
      <c r="B3" s="46" t="s">
        <v>87</v>
      </c>
      <c r="C3" s="47" t="s">
        <v>88</v>
      </c>
      <c r="D3" s="47" t="s">
        <v>89</v>
      </c>
      <c r="E3" s="47" t="s">
        <v>88</v>
      </c>
      <c r="F3" s="47" t="s">
        <v>89</v>
      </c>
      <c r="G3" s="47"/>
      <c r="H3" s="47" t="s">
        <v>90</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row>
    <row r="4" spans="1:64" ht="30" hidden="1" customHeight="1" thickBot="1" x14ac:dyDescent="0.4">
      <c r="A4" s="39" t="s">
        <v>91</v>
      </c>
      <c r="C4" s="38"/>
      <c r="D4" s="38"/>
      <c r="E4" s="38"/>
      <c r="H4" s="38" t="str">
        <f>IF(OR(ISBLANK(タスク_開始),ISBLANK(タスク_終了)),"",タスク_終了-タスク_開始+1)</f>
        <v/>
      </c>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row>
    <row r="5" spans="1:64" s="54" customFormat="1" ht="30" customHeight="1" thickBot="1" x14ac:dyDescent="0.4">
      <c r="A5" s="37" t="s">
        <v>92</v>
      </c>
      <c r="B5" s="50" t="s">
        <v>93</v>
      </c>
      <c r="C5" s="51"/>
      <c r="D5" s="51"/>
      <c r="E5" s="51"/>
      <c r="F5" s="52"/>
      <c r="G5" s="53"/>
      <c r="H5" s="53" t="str">
        <f t="shared" ref="H5:H60" si="8">IF(OR(ISBLANK(タスク_開始),ISBLANK(タスク_終了)),"",タスク_終了-タスク_開始+1)</f>
        <v/>
      </c>
      <c r="I5" s="49"/>
      <c r="J5" s="49"/>
      <c r="K5" s="49"/>
      <c r="L5" s="49"/>
      <c r="M5" s="49"/>
      <c r="N5" s="49"/>
      <c r="O5" s="49"/>
      <c r="P5" s="49"/>
      <c r="Q5" s="49"/>
      <c r="R5" s="49"/>
      <c r="S5" s="49"/>
      <c r="T5" s="49"/>
      <c r="U5" s="49"/>
      <c r="V5" s="49"/>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row>
    <row r="6" spans="1:64" s="54" customFormat="1" ht="30" customHeight="1" thickBot="1" x14ac:dyDescent="0.4">
      <c r="A6" s="37" t="s">
        <v>94</v>
      </c>
      <c r="B6" s="55" t="s">
        <v>95</v>
      </c>
      <c r="C6" s="56">
        <v>46162</v>
      </c>
      <c r="D6" s="56">
        <v>46162</v>
      </c>
      <c r="E6" s="56"/>
      <c r="F6" s="56">
        <f>C6+3</f>
        <v>46165</v>
      </c>
      <c r="G6" s="53"/>
      <c r="H6" s="53">
        <f t="shared" si="8"/>
        <v>4</v>
      </c>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row>
    <row r="7" spans="1:64" s="54" customFormat="1" ht="30" customHeight="1" thickBot="1" x14ac:dyDescent="0.4">
      <c r="A7" s="37" t="s">
        <v>96</v>
      </c>
      <c r="B7" s="55" t="s">
        <v>97</v>
      </c>
      <c r="C7" s="56">
        <v>46162</v>
      </c>
      <c r="D7" s="56">
        <v>46162</v>
      </c>
      <c r="E7" s="56"/>
      <c r="F7" s="56">
        <f>C7+2</f>
        <v>46164</v>
      </c>
      <c r="G7" s="53"/>
      <c r="H7" s="53">
        <f t="shared" si="8"/>
        <v>3</v>
      </c>
      <c r="I7" s="49"/>
      <c r="J7" s="49"/>
      <c r="K7" s="49"/>
      <c r="L7" s="49"/>
      <c r="M7" s="49"/>
      <c r="N7" s="49"/>
      <c r="O7" s="49"/>
      <c r="P7" s="49"/>
      <c r="Q7" s="49"/>
      <c r="R7" s="49"/>
      <c r="S7" s="49"/>
      <c r="T7" s="49"/>
      <c r="U7" s="57"/>
      <c r="V7" s="57"/>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row>
    <row r="8" spans="1:64" s="54" customFormat="1" ht="30" customHeight="1" thickBot="1" x14ac:dyDescent="0.4">
      <c r="A8" s="39"/>
      <c r="B8" s="55" t="s">
        <v>98</v>
      </c>
      <c r="C8" s="56">
        <v>46162</v>
      </c>
      <c r="D8" s="56">
        <v>46162</v>
      </c>
      <c r="E8" s="56"/>
      <c r="F8" s="56">
        <f>C8+4</f>
        <v>46166</v>
      </c>
      <c r="G8" s="53"/>
      <c r="H8" s="53">
        <f t="shared" si="8"/>
        <v>5</v>
      </c>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row>
    <row r="9" spans="1:64" s="54" customFormat="1" ht="30" customHeight="1" thickBot="1" x14ac:dyDescent="0.4">
      <c r="A9" s="39"/>
      <c r="B9" s="55" t="s">
        <v>99</v>
      </c>
      <c r="C9" s="56">
        <v>46162</v>
      </c>
      <c r="D9" s="56">
        <v>46162</v>
      </c>
      <c r="E9" s="56"/>
      <c r="F9" s="56">
        <f>C9+5</f>
        <v>46167</v>
      </c>
      <c r="G9" s="53"/>
      <c r="H9" s="53">
        <f t="shared" si="8"/>
        <v>6</v>
      </c>
      <c r="I9" s="49"/>
      <c r="J9" s="49"/>
      <c r="K9" s="49"/>
      <c r="L9" s="49"/>
      <c r="M9" s="49"/>
      <c r="N9" s="49"/>
      <c r="O9" s="49"/>
      <c r="P9" s="49"/>
      <c r="Q9" s="49"/>
      <c r="R9" s="49"/>
      <c r="S9" s="49"/>
      <c r="T9" s="49"/>
      <c r="U9" s="49"/>
      <c r="V9" s="49"/>
      <c r="W9" s="49"/>
      <c r="X9" s="49"/>
      <c r="Y9" s="57"/>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row>
    <row r="10" spans="1:64" s="54" customFormat="1" ht="30" customHeight="1" thickBot="1" x14ac:dyDescent="0.4">
      <c r="A10" s="39"/>
      <c r="B10" s="55" t="s">
        <v>100</v>
      </c>
      <c r="C10" s="56">
        <v>46162</v>
      </c>
      <c r="D10" s="56">
        <v>46162</v>
      </c>
      <c r="E10" s="56"/>
      <c r="F10" s="56"/>
      <c r="G10" s="53"/>
      <c r="H10" s="53"/>
      <c r="I10" s="49"/>
      <c r="J10" s="49"/>
      <c r="K10" s="49"/>
      <c r="L10" s="49"/>
      <c r="M10" s="49"/>
      <c r="N10" s="49"/>
      <c r="O10" s="49"/>
      <c r="P10" s="49"/>
      <c r="Q10" s="49"/>
      <c r="R10" s="49"/>
      <c r="S10" s="49"/>
      <c r="T10" s="49"/>
      <c r="U10" s="49"/>
      <c r="V10" s="49"/>
      <c r="W10" s="49"/>
      <c r="X10" s="49"/>
      <c r="Y10" s="57"/>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row>
    <row r="11" spans="1:64" s="54" customFormat="1" ht="30" customHeight="1" thickBot="1" x14ac:dyDescent="0.4">
      <c r="A11" s="39"/>
      <c r="B11" s="55" t="s">
        <v>0</v>
      </c>
      <c r="C11" s="56">
        <v>46162</v>
      </c>
      <c r="D11" s="56">
        <v>46162</v>
      </c>
      <c r="E11" s="56"/>
      <c r="F11" s="56">
        <f>C11+2</f>
        <v>46164</v>
      </c>
      <c r="G11" s="53"/>
      <c r="H11" s="53">
        <f t="shared" si="8"/>
        <v>3</v>
      </c>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row>
    <row r="12" spans="1:64" s="54" customFormat="1" ht="30" customHeight="1" thickBot="1" x14ac:dyDescent="0.4">
      <c r="A12" s="37" t="s">
        <v>101</v>
      </c>
      <c r="B12" s="58" t="s">
        <v>111</v>
      </c>
      <c r="C12" s="59"/>
      <c r="D12" s="59"/>
      <c r="E12" s="59"/>
      <c r="F12" s="60"/>
      <c r="G12" s="53"/>
      <c r="H12" s="53" t="str">
        <f t="shared" si="8"/>
        <v/>
      </c>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row>
    <row r="13" spans="1:64" s="54" customFormat="1" ht="30" customHeight="1" thickBot="1" x14ac:dyDescent="0.4">
      <c r="A13" s="37"/>
      <c r="B13" s="61" t="s">
        <v>102</v>
      </c>
      <c r="C13" s="62">
        <f>C11+1</f>
        <v>46163</v>
      </c>
      <c r="D13" s="62"/>
      <c r="E13" s="62"/>
      <c r="F13" s="62">
        <f>C13+4</f>
        <v>46167</v>
      </c>
      <c r="G13" s="53"/>
      <c r="H13" s="53">
        <f t="shared" si="8"/>
        <v>5</v>
      </c>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row>
    <row r="14" spans="1:64" s="54" customFormat="1" ht="30" customHeight="1" thickBot="1" x14ac:dyDescent="0.4">
      <c r="A14" s="39"/>
      <c r="B14" s="61" t="s">
        <v>103</v>
      </c>
      <c r="C14" s="62">
        <f>C13+2</f>
        <v>46165</v>
      </c>
      <c r="D14" s="62"/>
      <c r="E14" s="62"/>
      <c r="F14" s="62">
        <f>C14+5</f>
        <v>46170</v>
      </c>
      <c r="G14" s="53"/>
      <c r="H14" s="53">
        <f t="shared" si="8"/>
        <v>6</v>
      </c>
      <c r="I14" s="49"/>
      <c r="J14" s="49"/>
      <c r="K14" s="49"/>
      <c r="L14" s="49"/>
      <c r="M14" s="49"/>
      <c r="N14" s="49"/>
      <c r="O14" s="49"/>
      <c r="P14" s="49"/>
      <c r="Q14" s="49"/>
      <c r="R14" s="49"/>
      <c r="S14" s="49"/>
      <c r="T14" s="49"/>
      <c r="U14" s="57"/>
      <c r="V14" s="57"/>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row>
    <row r="15" spans="1:64" s="54" customFormat="1" ht="30" customHeight="1" thickBot="1" x14ac:dyDescent="0.4">
      <c r="A15" s="39"/>
      <c r="B15" s="61" t="s">
        <v>104</v>
      </c>
      <c r="C15" s="62">
        <f>F14</f>
        <v>46170</v>
      </c>
      <c r="D15" s="62"/>
      <c r="E15" s="62"/>
      <c r="F15" s="62">
        <f>C15+3</f>
        <v>46173</v>
      </c>
      <c r="G15" s="53"/>
      <c r="H15" s="53">
        <f t="shared" si="8"/>
        <v>4</v>
      </c>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row>
    <row r="16" spans="1:64" s="54" customFormat="1" ht="30" customHeight="1" thickBot="1" x14ac:dyDescent="0.4">
      <c r="A16" s="39"/>
      <c r="B16" s="61" t="s">
        <v>105</v>
      </c>
      <c r="C16" s="62">
        <f>C15</f>
        <v>46170</v>
      </c>
      <c r="D16" s="62"/>
      <c r="E16" s="62"/>
      <c r="F16" s="62">
        <f>C16+2</f>
        <v>46172</v>
      </c>
      <c r="G16" s="53"/>
      <c r="H16" s="53">
        <f t="shared" si="8"/>
        <v>3</v>
      </c>
      <c r="I16" s="49"/>
      <c r="J16" s="49"/>
      <c r="K16" s="49"/>
      <c r="L16" s="49"/>
      <c r="M16" s="49"/>
      <c r="N16" s="49"/>
      <c r="O16" s="49"/>
      <c r="P16" s="49"/>
      <c r="Q16" s="49"/>
      <c r="R16" s="49"/>
      <c r="S16" s="49"/>
      <c r="T16" s="49"/>
      <c r="U16" s="49"/>
      <c r="V16" s="49"/>
      <c r="W16" s="49"/>
      <c r="X16" s="49"/>
      <c r="Y16" s="57"/>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row>
    <row r="17" spans="1:64" s="54" customFormat="1" ht="30" customHeight="1" thickBot="1" x14ac:dyDescent="0.4">
      <c r="A17" s="39"/>
      <c r="B17" s="61" t="s">
        <v>106</v>
      </c>
      <c r="C17" s="62">
        <f>C16</f>
        <v>46170</v>
      </c>
      <c r="D17" s="62"/>
      <c r="E17" s="62"/>
      <c r="F17" s="62">
        <f>C17+3</f>
        <v>46173</v>
      </c>
      <c r="G17" s="53"/>
      <c r="H17" s="53">
        <f t="shared" si="8"/>
        <v>4</v>
      </c>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row>
    <row r="18" spans="1:64" s="54" customFormat="1" ht="30" customHeight="1" thickBot="1" x14ac:dyDescent="0.4">
      <c r="A18" s="39" t="s">
        <v>107</v>
      </c>
      <c r="B18" s="63" t="s">
        <v>1</v>
      </c>
      <c r="C18" s="64"/>
      <c r="D18" s="64"/>
      <c r="E18" s="64"/>
      <c r="F18" s="65"/>
      <c r="G18" s="53"/>
      <c r="H18" s="53" t="str">
        <f t="shared" si="8"/>
        <v/>
      </c>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row>
    <row r="19" spans="1:64" s="54" customFormat="1" ht="30" customHeight="1" thickBot="1" x14ac:dyDescent="0.4">
      <c r="A19" s="39"/>
      <c r="B19" s="66" t="s">
        <v>102</v>
      </c>
      <c r="C19" s="67">
        <f>C6+15</f>
        <v>46177</v>
      </c>
      <c r="D19" s="67"/>
      <c r="E19" s="67"/>
      <c r="F19" s="67">
        <f>C19+5</f>
        <v>46182</v>
      </c>
      <c r="G19" s="53"/>
      <c r="H19" s="53">
        <f t="shared" si="8"/>
        <v>6</v>
      </c>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row>
    <row r="20" spans="1:64" s="54" customFormat="1" ht="30" customHeight="1" thickBot="1" x14ac:dyDescent="0.4">
      <c r="A20" s="39"/>
      <c r="B20" s="66" t="s">
        <v>103</v>
      </c>
      <c r="C20" s="67">
        <f>F19+1</f>
        <v>46183</v>
      </c>
      <c r="D20" s="67"/>
      <c r="E20" s="67"/>
      <c r="F20" s="67">
        <f>C20+4</f>
        <v>46187</v>
      </c>
      <c r="G20" s="53"/>
      <c r="H20" s="53">
        <f t="shared" si="8"/>
        <v>5</v>
      </c>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row>
    <row r="21" spans="1:64" s="54" customFormat="1" ht="30" customHeight="1" thickBot="1" x14ac:dyDescent="0.4">
      <c r="A21" s="39"/>
      <c r="B21" s="66" t="s">
        <v>104</v>
      </c>
      <c r="C21" s="67">
        <f>C20+5</f>
        <v>46188</v>
      </c>
      <c r="D21" s="67"/>
      <c r="E21" s="67"/>
      <c r="F21" s="67">
        <f>C21+5</f>
        <v>46193</v>
      </c>
      <c r="G21" s="53"/>
      <c r="H21" s="53">
        <f t="shared" si="8"/>
        <v>6</v>
      </c>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row>
    <row r="22" spans="1:64" s="54" customFormat="1" ht="30" customHeight="1" thickBot="1" x14ac:dyDescent="0.4">
      <c r="A22" s="39"/>
      <c r="B22" s="66" t="s">
        <v>105</v>
      </c>
      <c r="C22" s="67">
        <f>F21+1</f>
        <v>46194</v>
      </c>
      <c r="D22" s="67"/>
      <c r="E22" s="67"/>
      <c r="F22" s="67">
        <f>C22+4</f>
        <v>46198</v>
      </c>
      <c r="G22" s="53"/>
      <c r="H22" s="53">
        <f t="shared" si="8"/>
        <v>5</v>
      </c>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row>
    <row r="23" spans="1:64" s="54" customFormat="1" ht="30" customHeight="1" thickBot="1" x14ac:dyDescent="0.4">
      <c r="A23" s="39"/>
      <c r="B23" s="66" t="s">
        <v>106</v>
      </c>
      <c r="C23" s="67">
        <f>C21</f>
        <v>46188</v>
      </c>
      <c r="D23" s="67"/>
      <c r="E23" s="67"/>
      <c r="F23" s="67">
        <f>C23+4</f>
        <v>46192</v>
      </c>
      <c r="G23" s="53"/>
      <c r="H23" s="53">
        <f t="shared" si="8"/>
        <v>5</v>
      </c>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row>
    <row r="24" spans="1:64" s="54" customFormat="1" ht="30" customHeight="1" thickBot="1" x14ac:dyDescent="0.4">
      <c r="A24" s="39" t="s">
        <v>107</v>
      </c>
      <c r="B24" s="68" t="s">
        <v>2</v>
      </c>
      <c r="C24" s="69"/>
      <c r="D24" s="69"/>
      <c r="E24" s="69"/>
      <c r="F24" s="70"/>
      <c r="G24" s="53"/>
      <c r="H24" s="53" t="str">
        <f t="shared" si="8"/>
        <v/>
      </c>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row>
    <row r="25" spans="1:64" s="54" customFormat="1" ht="30" customHeight="1" thickBot="1" x14ac:dyDescent="0.4">
      <c r="A25" s="39"/>
      <c r="B25" s="71" t="s">
        <v>102</v>
      </c>
      <c r="C25" s="72" t="s">
        <v>108</v>
      </c>
      <c r="D25" s="72"/>
      <c r="E25" s="72"/>
      <c r="F25" s="72" t="s">
        <v>108</v>
      </c>
      <c r="G25" s="53"/>
      <c r="H25" s="53" t="e">
        <f t="shared" si="8"/>
        <v>#VALUE!</v>
      </c>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row>
    <row r="26" spans="1:64" s="54" customFormat="1" ht="30" customHeight="1" thickBot="1" x14ac:dyDescent="0.4">
      <c r="A26" s="39"/>
      <c r="B26" s="71" t="s">
        <v>103</v>
      </c>
      <c r="C26" s="72" t="s">
        <v>108</v>
      </c>
      <c r="D26" s="72"/>
      <c r="E26" s="72"/>
      <c r="F26" s="72" t="s">
        <v>108</v>
      </c>
      <c r="G26" s="53"/>
      <c r="H26" s="53" t="e">
        <f t="shared" si="8"/>
        <v>#VALUE!</v>
      </c>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row>
    <row r="27" spans="1:64" s="54" customFormat="1" ht="30" customHeight="1" thickBot="1" x14ac:dyDescent="0.4">
      <c r="A27" s="39"/>
      <c r="B27" s="71" t="s">
        <v>104</v>
      </c>
      <c r="C27" s="72" t="s">
        <v>108</v>
      </c>
      <c r="D27" s="72"/>
      <c r="E27" s="72"/>
      <c r="F27" s="72" t="s">
        <v>108</v>
      </c>
      <c r="G27" s="53"/>
      <c r="H27" s="53" t="e">
        <f t="shared" si="8"/>
        <v>#VALUE!</v>
      </c>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row>
    <row r="28" spans="1:64" s="54" customFormat="1" ht="30" customHeight="1" thickBot="1" x14ac:dyDescent="0.4">
      <c r="A28" s="39"/>
      <c r="B28" s="71" t="s">
        <v>105</v>
      </c>
      <c r="C28" s="72" t="s">
        <v>108</v>
      </c>
      <c r="D28" s="72"/>
      <c r="E28" s="72"/>
      <c r="F28" s="72" t="s">
        <v>108</v>
      </c>
      <c r="G28" s="53"/>
      <c r="H28" s="53" t="e">
        <f t="shared" si="8"/>
        <v>#VALUE!</v>
      </c>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row>
    <row r="29" spans="1:64" s="54" customFormat="1" ht="30" customHeight="1" thickBot="1" x14ac:dyDescent="0.4">
      <c r="A29" s="39"/>
      <c r="B29" s="71" t="s">
        <v>106</v>
      </c>
      <c r="C29" s="72" t="s">
        <v>108</v>
      </c>
      <c r="D29" s="72"/>
      <c r="E29" s="72"/>
      <c r="F29" s="72" t="s">
        <v>108</v>
      </c>
      <c r="G29" s="53"/>
      <c r="H29" s="53" t="e">
        <f t="shared" si="8"/>
        <v>#VALUE!</v>
      </c>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row>
    <row r="30" spans="1:64" s="54" customFormat="1" ht="30" customHeight="1" thickBot="1" x14ac:dyDescent="0.4">
      <c r="A30" s="39"/>
      <c r="B30" s="68" t="s">
        <v>3</v>
      </c>
      <c r="C30" s="69"/>
      <c r="D30" s="69"/>
      <c r="E30" s="69"/>
      <c r="F30" s="70"/>
      <c r="G30" s="53"/>
      <c r="H30" s="53"/>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row>
    <row r="31" spans="1:64" s="54" customFormat="1" ht="30" customHeight="1" thickBot="1" x14ac:dyDescent="0.4">
      <c r="A31" s="39"/>
      <c r="B31" s="71" t="s">
        <v>102</v>
      </c>
      <c r="C31" s="72" t="s">
        <v>108</v>
      </c>
      <c r="D31" s="72"/>
      <c r="E31" s="72"/>
      <c r="F31" s="72" t="s">
        <v>108</v>
      </c>
      <c r="G31" s="53"/>
      <c r="H31" s="53"/>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row>
    <row r="32" spans="1:64" s="54" customFormat="1" ht="30" customHeight="1" thickBot="1" x14ac:dyDescent="0.4">
      <c r="A32" s="39"/>
      <c r="B32" s="71" t="s">
        <v>103</v>
      </c>
      <c r="C32" s="72" t="s">
        <v>108</v>
      </c>
      <c r="D32" s="72"/>
      <c r="E32" s="72"/>
      <c r="F32" s="72" t="s">
        <v>108</v>
      </c>
      <c r="G32" s="53"/>
      <c r="H32" s="53"/>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row>
    <row r="33" spans="1:64" s="54" customFormat="1" ht="30" customHeight="1" thickBot="1" x14ac:dyDescent="0.4">
      <c r="A33" s="39"/>
      <c r="B33" s="71" t="s">
        <v>104</v>
      </c>
      <c r="C33" s="72" t="s">
        <v>108</v>
      </c>
      <c r="D33" s="72"/>
      <c r="E33" s="72"/>
      <c r="F33" s="72" t="s">
        <v>108</v>
      </c>
      <c r="G33" s="53"/>
      <c r="H33" s="53"/>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row>
    <row r="34" spans="1:64" s="54" customFormat="1" ht="30" customHeight="1" thickBot="1" x14ac:dyDescent="0.4">
      <c r="A34" s="39"/>
      <c r="B34" s="71" t="s">
        <v>105</v>
      </c>
      <c r="C34" s="72" t="s">
        <v>108</v>
      </c>
      <c r="D34" s="72"/>
      <c r="E34" s="72"/>
      <c r="F34" s="72" t="s">
        <v>108</v>
      </c>
      <c r="G34" s="53"/>
      <c r="H34" s="53"/>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row>
    <row r="35" spans="1:64" s="54" customFormat="1" ht="30" customHeight="1" thickBot="1" x14ac:dyDescent="0.4">
      <c r="A35" s="39"/>
      <c r="B35" s="71" t="s">
        <v>106</v>
      </c>
      <c r="C35" s="72" t="s">
        <v>108</v>
      </c>
      <c r="D35" s="72"/>
      <c r="E35" s="72"/>
      <c r="F35" s="72" t="s">
        <v>108</v>
      </c>
      <c r="G35" s="53"/>
      <c r="H35" s="53"/>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row>
    <row r="36" spans="1:64" s="54" customFormat="1" ht="30" customHeight="1" thickBot="1" x14ac:dyDescent="0.4">
      <c r="A36" s="39"/>
      <c r="B36" s="68" t="s">
        <v>5</v>
      </c>
      <c r="C36" s="69"/>
      <c r="D36" s="69"/>
      <c r="E36" s="69"/>
      <c r="F36" s="70"/>
      <c r="G36" s="53"/>
      <c r="H36" s="53"/>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row>
    <row r="37" spans="1:64" s="54" customFormat="1" ht="30" customHeight="1" thickBot="1" x14ac:dyDescent="0.4">
      <c r="A37" s="39"/>
      <c r="B37" s="71" t="s">
        <v>102</v>
      </c>
      <c r="C37" s="72" t="s">
        <v>108</v>
      </c>
      <c r="D37" s="72"/>
      <c r="E37" s="72"/>
      <c r="F37" s="72" t="s">
        <v>108</v>
      </c>
      <c r="G37" s="53"/>
      <c r="H37" s="53"/>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row>
    <row r="38" spans="1:64" s="54" customFormat="1" ht="30" customHeight="1" thickBot="1" x14ac:dyDescent="0.4">
      <c r="A38" s="39"/>
      <c r="B38" s="71" t="s">
        <v>103</v>
      </c>
      <c r="C38" s="72" t="s">
        <v>108</v>
      </c>
      <c r="D38" s="72"/>
      <c r="E38" s="72"/>
      <c r="F38" s="72" t="s">
        <v>108</v>
      </c>
      <c r="G38" s="53"/>
      <c r="H38" s="53"/>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row>
    <row r="39" spans="1:64" s="54" customFormat="1" ht="30" customHeight="1" thickBot="1" x14ac:dyDescent="0.4">
      <c r="A39" s="39"/>
      <c r="B39" s="71" t="s">
        <v>104</v>
      </c>
      <c r="C39" s="72" t="s">
        <v>108</v>
      </c>
      <c r="D39" s="72"/>
      <c r="E39" s="72"/>
      <c r="F39" s="72" t="s">
        <v>108</v>
      </c>
      <c r="G39" s="53"/>
      <c r="H39" s="53"/>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row>
    <row r="40" spans="1:64" s="54" customFormat="1" ht="30" customHeight="1" thickBot="1" x14ac:dyDescent="0.4">
      <c r="A40" s="39"/>
      <c r="B40" s="71" t="s">
        <v>105</v>
      </c>
      <c r="C40" s="72" t="s">
        <v>108</v>
      </c>
      <c r="D40" s="72"/>
      <c r="E40" s="72"/>
      <c r="F40" s="72" t="s">
        <v>108</v>
      </c>
      <c r="G40" s="53"/>
      <c r="H40" s="53"/>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row>
    <row r="41" spans="1:64" s="54" customFormat="1" ht="30" customHeight="1" thickBot="1" x14ac:dyDescent="0.4">
      <c r="A41" s="39" t="s">
        <v>109</v>
      </c>
      <c r="B41" s="71" t="s">
        <v>106</v>
      </c>
      <c r="C41" s="72" t="s">
        <v>108</v>
      </c>
      <c r="D41" s="72"/>
      <c r="E41" s="72"/>
      <c r="F41" s="72" t="s">
        <v>108</v>
      </c>
      <c r="G41" s="53"/>
      <c r="H41" s="53" t="e">
        <f t="shared" si="8"/>
        <v>#VALUE!</v>
      </c>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row>
    <row r="42" spans="1:64" s="54" customFormat="1" ht="30" customHeight="1" thickBot="1" x14ac:dyDescent="0.4">
      <c r="A42" s="39"/>
      <c r="B42" s="68" t="s">
        <v>6</v>
      </c>
      <c r="C42" s="69"/>
      <c r="D42" s="69"/>
      <c r="E42" s="69"/>
      <c r="F42" s="70"/>
      <c r="G42" s="53"/>
      <c r="H42" s="53"/>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row>
    <row r="43" spans="1:64" s="54" customFormat="1" ht="30" customHeight="1" thickBot="1" x14ac:dyDescent="0.4">
      <c r="A43" s="39"/>
      <c r="B43" s="71" t="s">
        <v>102</v>
      </c>
      <c r="C43" s="72" t="s">
        <v>108</v>
      </c>
      <c r="D43" s="72"/>
      <c r="E43" s="72"/>
      <c r="F43" s="72" t="s">
        <v>108</v>
      </c>
      <c r="G43" s="53"/>
      <c r="H43" s="53"/>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row>
    <row r="44" spans="1:64" s="54" customFormat="1" ht="30" customHeight="1" thickBot="1" x14ac:dyDescent="0.4">
      <c r="A44" s="39"/>
      <c r="B44" s="71" t="s">
        <v>103</v>
      </c>
      <c r="C44" s="72" t="s">
        <v>108</v>
      </c>
      <c r="D44" s="72"/>
      <c r="E44" s="72"/>
      <c r="F44" s="72" t="s">
        <v>108</v>
      </c>
      <c r="G44" s="53"/>
      <c r="H44" s="53"/>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row>
    <row r="45" spans="1:64" s="54" customFormat="1" ht="30" customHeight="1" thickBot="1" x14ac:dyDescent="0.4">
      <c r="A45" s="39"/>
      <c r="B45" s="71" t="s">
        <v>104</v>
      </c>
      <c r="C45" s="72" t="s">
        <v>108</v>
      </c>
      <c r="D45" s="72"/>
      <c r="E45" s="72"/>
      <c r="F45" s="72" t="s">
        <v>108</v>
      </c>
      <c r="G45" s="53"/>
      <c r="H45" s="53"/>
      <c r="I45" s="49"/>
      <c r="J45" s="49"/>
      <c r="K45" s="49"/>
      <c r="L45" s="49"/>
      <c r="M45" s="49"/>
      <c r="N45" s="49"/>
      <c r="O45" s="49"/>
      <c r="P45" s="49"/>
      <c r="Q45" s="49"/>
      <c r="R45" s="49"/>
      <c r="S45" s="49"/>
      <c r="T45" s="49"/>
      <c r="U45" s="49"/>
      <c r="V45" s="49"/>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row>
    <row r="46" spans="1:64" s="54" customFormat="1" ht="30" customHeight="1" thickBot="1" x14ac:dyDescent="0.4">
      <c r="A46" s="39"/>
      <c r="B46" s="71" t="s">
        <v>105</v>
      </c>
      <c r="C46" s="72" t="s">
        <v>108</v>
      </c>
      <c r="D46" s="72"/>
      <c r="E46" s="72"/>
      <c r="F46" s="72" t="s">
        <v>108</v>
      </c>
      <c r="G46" s="53"/>
      <c r="H46" s="53"/>
      <c r="I46" s="49"/>
      <c r="J46" s="49"/>
      <c r="K46" s="49"/>
      <c r="L46" s="49"/>
      <c r="M46" s="49"/>
      <c r="N46" s="49"/>
      <c r="O46" s="49"/>
      <c r="P46" s="49"/>
      <c r="Q46" s="49"/>
      <c r="R46" s="49"/>
      <c r="S46" s="49"/>
      <c r="T46" s="49"/>
      <c r="U46" s="49"/>
      <c r="V46" s="49"/>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row>
    <row r="47" spans="1:64" s="54" customFormat="1" ht="30" customHeight="1" thickBot="1" x14ac:dyDescent="0.4">
      <c r="A47" s="39"/>
      <c r="B47" s="71" t="s">
        <v>106</v>
      </c>
      <c r="C47" s="72" t="s">
        <v>108</v>
      </c>
      <c r="D47" s="72"/>
      <c r="E47" s="72"/>
      <c r="F47" s="72" t="s">
        <v>108</v>
      </c>
      <c r="G47" s="53"/>
      <c r="H47" s="53"/>
      <c r="I47" s="49"/>
      <c r="J47" s="49"/>
      <c r="K47" s="49"/>
      <c r="L47" s="49"/>
      <c r="M47" s="49"/>
      <c r="N47" s="49"/>
      <c r="O47" s="49"/>
      <c r="P47" s="49"/>
      <c r="Q47" s="49"/>
      <c r="R47" s="49"/>
      <c r="S47" s="49"/>
      <c r="T47" s="49"/>
      <c r="U47" s="49"/>
      <c r="V47" s="49"/>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row>
    <row r="48" spans="1:64" s="54" customFormat="1" ht="30" customHeight="1" thickBot="1" x14ac:dyDescent="0.4">
      <c r="A48" s="39"/>
      <c r="B48" s="68" t="s">
        <v>4</v>
      </c>
      <c r="C48" s="69"/>
      <c r="D48" s="69"/>
      <c r="E48" s="69"/>
      <c r="F48" s="70"/>
      <c r="G48" s="53"/>
      <c r="H48" s="53"/>
      <c r="I48" s="49"/>
      <c r="J48" s="49"/>
      <c r="K48" s="49"/>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row>
    <row r="49" spans="1:64" s="54" customFormat="1" ht="30" customHeight="1" thickBot="1" x14ac:dyDescent="0.4">
      <c r="A49" s="39"/>
      <c r="B49" s="71" t="s">
        <v>102</v>
      </c>
      <c r="C49" s="72" t="s">
        <v>108</v>
      </c>
      <c r="D49" s="72"/>
      <c r="E49" s="72"/>
      <c r="F49" s="72" t="s">
        <v>108</v>
      </c>
      <c r="G49" s="53"/>
      <c r="H49" s="53"/>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row>
    <row r="50" spans="1:64" s="54" customFormat="1" ht="30" customHeight="1" thickBot="1" x14ac:dyDescent="0.4">
      <c r="A50" s="39"/>
      <c r="B50" s="71" t="s">
        <v>103</v>
      </c>
      <c r="C50" s="72" t="s">
        <v>108</v>
      </c>
      <c r="D50" s="72"/>
      <c r="E50" s="72"/>
      <c r="F50" s="72" t="s">
        <v>108</v>
      </c>
      <c r="G50" s="53"/>
      <c r="H50" s="53"/>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row>
    <row r="51" spans="1:64" s="54" customFormat="1" ht="30" customHeight="1" thickBot="1" x14ac:dyDescent="0.4">
      <c r="A51" s="39"/>
      <c r="B51" s="71" t="s">
        <v>104</v>
      </c>
      <c r="C51" s="72" t="s">
        <v>108</v>
      </c>
      <c r="D51" s="72"/>
      <c r="E51" s="72"/>
      <c r="F51" s="72" t="s">
        <v>108</v>
      </c>
      <c r="G51" s="53"/>
      <c r="H51" s="53"/>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row>
    <row r="52" spans="1:64" s="54" customFormat="1" ht="30" customHeight="1" thickBot="1" x14ac:dyDescent="0.4">
      <c r="A52" s="39"/>
      <c r="B52" s="71" t="s">
        <v>105</v>
      </c>
      <c r="C52" s="72" t="s">
        <v>108</v>
      </c>
      <c r="D52" s="72"/>
      <c r="E52" s="72"/>
      <c r="F52" s="72" t="s">
        <v>108</v>
      </c>
      <c r="G52" s="53"/>
      <c r="H52" s="53"/>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row>
    <row r="53" spans="1:64" s="54" customFormat="1" ht="30" customHeight="1" thickBot="1" x14ac:dyDescent="0.4">
      <c r="A53" s="39"/>
      <c r="B53" s="71" t="s">
        <v>106</v>
      </c>
      <c r="C53" s="72" t="s">
        <v>108</v>
      </c>
      <c r="D53" s="72"/>
      <c r="E53" s="72"/>
      <c r="F53" s="72" t="s">
        <v>108</v>
      </c>
      <c r="G53" s="53"/>
      <c r="H53" s="53"/>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row>
    <row r="54" spans="1:64" s="54" customFormat="1" ht="30" customHeight="1" thickBot="1" x14ac:dyDescent="0.4">
      <c r="A54" s="39"/>
      <c r="B54" s="68" t="s">
        <v>5</v>
      </c>
      <c r="C54" s="69"/>
      <c r="D54" s="69"/>
      <c r="E54" s="69"/>
      <c r="F54" s="70"/>
      <c r="G54" s="53"/>
      <c r="H54" s="53"/>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row>
    <row r="55" spans="1:64" s="54" customFormat="1" ht="30" customHeight="1" thickBot="1" x14ac:dyDescent="0.4">
      <c r="A55" s="39"/>
      <c r="B55" s="71" t="s">
        <v>102</v>
      </c>
      <c r="C55" s="72" t="s">
        <v>108</v>
      </c>
      <c r="D55" s="72"/>
      <c r="E55" s="72"/>
      <c r="F55" s="72" t="s">
        <v>108</v>
      </c>
      <c r="G55" s="53"/>
      <c r="H55" s="53"/>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row>
    <row r="56" spans="1:64" s="54" customFormat="1" ht="30" customHeight="1" thickBot="1" x14ac:dyDescent="0.4">
      <c r="A56" s="39"/>
      <c r="B56" s="71" t="s">
        <v>103</v>
      </c>
      <c r="C56" s="72" t="s">
        <v>108</v>
      </c>
      <c r="D56" s="72"/>
      <c r="E56" s="72"/>
      <c r="F56" s="72" t="s">
        <v>108</v>
      </c>
      <c r="G56" s="53"/>
      <c r="H56" s="53"/>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row>
    <row r="57" spans="1:64" s="54" customFormat="1" ht="30" customHeight="1" thickBot="1" x14ac:dyDescent="0.4">
      <c r="A57" s="39"/>
      <c r="B57" s="71" t="s">
        <v>104</v>
      </c>
      <c r="C57" s="72" t="s">
        <v>108</v>
      </c>
      <c r="D57" s="72"/>
      <c r="E57" s="72"/>
      <c r="F57" s="72" t="s">
        <v>108</v>
      </c>
      <c r="G57" s="53"/>
      <c r="H57" s="53"/>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row>
    <row r="58" spans="1:64" s="54" customFormat="1" ht="30" customHeight="1" thickBot="1" x14ac:dyDescent="0.4">
      <c r="A58" s="39"/>
      <c r="B58" s="71" t="s">
        <v>105</v>
      </c>
      <c r="C58" s="72" t="s">
        <v>108</v>
      </c>
      <c r="D58" s="72"/>
      <c r="E58" s="72"/>
      <c r="F58" s="72" t="s">
        <v>108</v>
      </c>
      <c r="G58" s="53"/>
      <c r="H58" s="53"/>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row>
    <row r="59" spans="1:64" s="54" customFormat="1" ht="30" customHeight="1" thickBot="1" x14ac:dyDescent="0.4">
      <c r="A59" s="39"/>
      <c r="B59" s="71" t="s">
        <v>106</v>
      </c>
      <c r="C59" s="72" t="s">
        <v>108</v>
      </c>
      <c r="D59" s="72"/>
      <c r="E59" s="72"/>
      <c r="F59" s="72" t="s">
        <v>108</v>
      </c>
      <c r="G59" s="53"/>
      <c r="H59" s="53"/>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row>
    <row r="60" spans="1:64" s="54" customFormat="1" ht="30" customHeight="1" thickBot="1" x14ac:dyDescent="0.4">
      <c r="A60" s="37" t="s">
        <v>110</v>
      </c>
      <c r="B60" s="73" t="s">
        <v>112</v>
      </c>
      <c r="C60" s="74"/>
      <c r="D60" s="74"/>
      <c r="E60" s="74"/>
      <c r="F60" s="75"/>
      <c r="G60" s="76"/>
      <c r="H60" s="76" t="str">
        <f t="shared" si="8"/>
        <v/>
      </c>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row>
    <row r="61" spans="1:64" ht="30" customHeight="1" x14ac:dyDescent="0.35">
      <c r="G61" s="78"/>
    </row>
    <row r="62" spans="1:64" ht="30" customHeight="1" x14ac:dyDescent="0.35">
      <c r="F62" s="79"/>
    </row>
  </sheetData>
  <mergeCells count="8">
    <mergeCell ref="I1:O1"/>
    <mergeCell ref="P1:V1"/>
    <mergeCell ref="W1:AC1"/>
    <mergeCell ref="AD1:AJ1"/>
    <mergeCell ref="AK1:AQ1"/>
    <mergeCell ref="AR1:AX1"/>
    <mergeCell ref="AY1:BE1"/>
    <mergeCell ref="BF1:BL1"/>
  </mergeCells>
  <phoneticPr fontId="1"/>
  <conditionalFormatting sqref="I2:BL60">
    <cfRule type="expression" dxfId="2" priority="4">
      <formula>AND(TODAY()&gt;=I$2,TODAY()&lt;J$2)</formula>
    </cfRule>
  </conditionalFormatting>
  <conditionalFormatting sqref="I4:BL60">
    <cfRule type="expression" dxfId="1" priority="2">
      <formula>AND(タスク_開始&lt;=I$2,ROUNDDOWN((タスク_終了-タスク_開始+1)*タスク_進捗状況,0)+タスク_開始-1&gt;=I$2)</formula>
    </cfRule>
    <cfRule type="expression" dxfId="0" priority="3" stopIfTrue="1">
      <formula>AND(タスク_終了&gt;=I$2,タスク_開始&lt;J$2)</formula>
    </cfRule>
  </conditionalFormatting>
  <dataValidations count="1">
    <dataValidation type="whole" operator="greaterThanOrEqual" allowBlank="1" showInputMessage="1" promptTitle="週表示" prompt="この数字を変更すると、ガント チャート ビューがスクロールされます。" sqref="C1:E1" xr:uid="{EB0308B5-5193-47F4-970F-34814C418D5C}">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rowBreaks count="1" manualBreakCount="1">
    <brk id="5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F0465-EC30-4C1C-B713-6E092787A722}">
  <dimension ref="C2:J13"/>
  <sheetViews>
    <sheetView workbookViewId="0">
      <selection activeCell="E8" sqref="E8"/>
    </sheetView>
  </sheetViews>
  <sheetFormatPr defaultRowHeight="18" x14ac:dyDescent="0.55000000000000004"/>
  <cols>
    <col min="3" max="3" width="7.83203125" customWidth="1"/>
    <col min="4" max="4" width="29.5" customWidth="1"/>
    <col min="5" max="5" width="34.6640625" customWidth="1"/>
  </cols>
  <sheetData>
    <row r="2" spans="3:10" x14ac:dyDescent="0.55000000000000004">
      <c r="C2" s="103" t="s">
        <v>113</v>
      </c>
      <c r="D2" s="104"/>
      <c r="E2" s="104"/>
      <c r="F2" s="104"/>
      <c r="G2" s="104"/>
      <c r="H2" s="104"/>
      <c r="I2" s="104"/>
      <c r="J2" s="105"/>
    </row>
    <row r="3" spans="3:10" x14ac:dyDescent="0.55000000000000004">
      <c r="C3" s="109" t="s">
        <v>114</v>
      </c>
      <c r="D3" s="110"/>
      <c r="E3" s="108" t="s">
        <v>123</v>
      </c>
      <c r="F3" s="98"/>
      <c r="G3" s="98"/>
      <c r="H3" s="98"/>
      <c r="I3" s="98"/>
      <c r="J3" s="99"/>
    </row>
    <row r="4" spans="3:10" x14ac:dyDescent="0.55000000000000004">
      <c r="C4" s="109" t="s">
        <v>115</v>
      </c>
      <c r="D4" s="110"/>
      <c r="E4" s="108" t="s">
        <v>142</v>
      </c>
      <c r="F4" s="98"/>
      <c r="G4" s="98"/>
      <c r="H4" s="98"/>
      <c r="I4" s="98"/>
      <c r="J4" s="99"/>
    </row>
    <row r="5" spans="3:10" x14ac:dyDescent="0.55000000000000004">
      <c r="C5" s="106" t="s">
        <v>113</v>
      </c>
      <c r="D5" s="107"/>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ht="54" x14ac:dyDescent="0.55000000000000004">
      <c r="C7" s="3">
        <v>1</v>
      </c>
      <c r="D7" s="102" t="s">
        <v>156</v>
      </c>
      <c r="E7" s="102" t="s">
        <v>157</v>
      </c>
      <c r="F7" s="4"/>
      <c r="G7" s="4"/>
      <c r="H7" s="4"/>
      <c r="I7" s="4"/>
      <c r="J7" s="4"/>
    </row>
    <row r="8" spans="3:10" x14ac:dyDescent="0.55000000000000004">
      <c r="C8" s="3">
        <v>2</v>
      </c>
      <c r="D8" s="4"/>
      <c r="E8" s="4"/>
      <c r="F8" s="4"/>
      <c r="G8" s="4"/>
      <c r="H8" s="4"/>
      <c r="I8" s="4"/>
      <c r="J8" s="4"/>
    </row>
    <row r="9" spans="3:10" x14ac:dyDescent="0.55000000000000004">
      <c r="C9" s="3"/>
      <c r="D9" s="4"/>
      <c r="E9" s="4"/>
      <c r="F9" s="4"/>
      <c r="G9" s="4"/>
      <c r="H9" s="4"/>
      <c r="I9" s="4"/>
      <c r="J9" s="4"/>
    </row>
    <row r="10" spans="3:10" x14ac:dyDescent="0.55000000000000004">
      <c r="C10" s="4"/>
      <c r="D10" s="4"/>
      <c r="E10" s="4"/>
      <c r="F10" s="4"/>
      <c r="G10" s="4"/>
      <c r="H10" s="4"/>
      <c r="I10" s="4"/>
      <c r="J10" s="4"/>
    </row>
    <row r="11" spans="3:10" x14ac:dyDescent="0.55000000000000004">
      <c r="C11" s="4"/>
      <c r="D11" s="4"/>
      <c r="E11" s="4"/>
      <c r="F11" s="4"/>
      <c r="G11" s="4"/>
      <c r="H11" s="4"/>
      <c r="I11" s="4"/>
      <c r="J11" s="4"/>
    </row>
    <row r="12" spans="3:10" x14ac:dyDescent="0.55000000000000004">
      <c r="C12" s="4"/>
      <c r="D12" s="4"/>
      <c r="E12" s="4"/>
      <c r="F12" s="4"/>
      <c r="G12" s="4"/>
      <c r="H12" s="4"/>
      <c r="I12" s="4"/>
      <c r="J12" s="4"/>
    </row>
    <row r="13" spans="3:10" x14ac:dyDescent="0.55000000000000004">
      <c r="C13" s="4"/>
      <c r="D13" s="4"/>
      <c r="E13" s="4"/>
      <c r="F13" s="4"/>
      <c r="G13" s="4"/>
      <c r="H13" s="4"/>
      <c r="I13" s="4"/>
      <c r="J13" s="4"/>
    </row>
  </sheetData>
  <mergeCells count="3">
    <mergeCell ref="C2:J2"/>
    <mergeCell ref="C3:D3"/>
    <mergeCell ref="C4:D4"/>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C188-0C10-44DC-9FE9-AC56AD925DB5}">
  <dimension ref="C2:J13"/>
  <sheetViews>
    <sheetView topLeftCell="A4" workbookViewId="0">
      <selection activeCell="D13" sqref="D13"/>
    </sheetView>
  </sheetViews>
  <sheetFormatPr defaultRowHeight="18" x14ac:dyDescent="0.55000000000000004"/>
  <cols>
    <col min="3" max="3" width="7.83203125" customWidth="1"/>
    <col min="4" max="4" width="46.58203125" style="117" customWidth="1"/>
    <col min="5" max="5" width="48.25" style="117" customWidth="1"/>
  </cols>
  <sheetData>
    <row r="2" spans="3:10" x14ac:dyDescent="0.55000000000000004">
      <c r="C2" s="103" t="s">
        <v>113</v>
      </c>
      <c r="D2" s="104"/>
      <c r="E2" s="104"/>
      <c r="F2" s="104"/>
      <c r="G2" s="104"/>
      <c r="H2" s="104"/>
      <c r="I2" s="104"/>
      <c r="J2" s="105"/>
    </row>
    <row r="3" spans="3:10" x14ac:dyDescent="0.55000000000000004">
      <c r="C3" s="109" t="s">
        <v>114</v>
      </c>
      <c r="D3" s="110"/>
      <c r="E3" s="113" t="s">
        <v>1</v>
      </c>
      <c r="F3" s="98"/>
      <c r="G3" s="98"/>
      <c r="H3" s="98"/>
      <c r="I3" s="98"/>
      <c r="J3" s="99"/>
    </row>
    <row r="4" spans="3:10" x14ac:dyDescent="0.55000000000000004">
      <c r="C4" s="109" t="s">
        <v>115</v>
      </c>
      <c r="D4" s="110"/>
      <c r="E4" s="113" t="s">
        <v>124</v>
      </c>
      <c r="F4" s="98"/>
      <c r="G4" s="98"/>
      <c r="H4" s="98"/>
      <c r="I4" s="98"/>
      <c r="J4" s="99"/>
    </row>
    <row r="5" spans="3:10" x14ac:dyDescent="0.55000000000000004">
      <c r="C5" s="111" t="s">
        <v>113</v>
      </c>
      <c r="D5" s="114"/>
      <c r="E5" s="115"/>
      <c r="F5" s="98"/>
      <c r="G5" s="98"/>
      <c r="H5" s="98"/>
      <c r="I5" s="98"/>
      <c r="J5" s="99"/>
    </row>
    <row r="6" spans="3:10" x14ac:dyDescent="0.55000000000000004">
      <c r="C6" s="3" t="s">
        <v>62</v>
      </c>
      <c r="D6" s="116" t="s">
        <v>116</v>
      </c>
      <c r="E6" s="116" t="s">
        <v>117</v>
      </c>
      <c r="F6" s="3" t="s">
        <v>118</v>
      </c>
      <c r="G6" s="3" t="s">
        <v>119</v>
      </c>
      <c r="H6" s="3" t="s">
        <v>120</v>
      </c>
      <c r="I6" s="3" t="s">
        <v>121</v>
      </c>
      <c r="J6" s="3" t="s">
        <v>122</v>
      </c>
    </row>
    <row r="7" spans="3:10" ht="36" x14ac:dyDescent="0.55000000000000004">
      <c r="C7" s="3">
        <v>1</v>
      </c>
      <c r="D7" s="102" t="s">
        <v>151</v>
      </c>
      <c r="E7" s="101" t="s">
        <v>138</v>
      </c>
      <c r="F7" s="4"/>
      <c r="G7" s="4"/>
      <c r="H7" s="4"/>
      <c r="I7" s="4"/>
      <c r="J7" s="4"/>
    </row>
    <row r="8" spans="3:10" ht="36" x14ac:dyDescent="0.55000000000000004">
      <c r="C8" s="3">
        <v>2</v>
      </c>
      <c r="D8" s="102" t="s">
        <v>146</v>
      </c>
      <c r="E8" s="101" t="s">
        <v>133</v>
      </c>
      <c r="F8" s="4"/>
      <c r="G8" s="4"/>
      <c r="H8" s="4"/>
      <c r="I8" s="4"/>
      <c r="J8" s="4"/>
    </row>
    <row r="9" spans="3:10" x14ac:dyDescent="0.55000000000000004">
      <c r="C9" s="3">
        <v>3</v>
      </c>
      <c r="D9" s="102" t="s">
        <v>145</v>
      </c>
      <c r="E9" s="101" t="s">
        <v>133</v>
      </c>
      <c r="F9" s="4"/>
      <c r="G9" s="4"/>
      <c r="H9" s="4"/>
      <c r="I9" s="4"/>
      <c r="J9" s="4"/>
    </row>
    <row r="10" spans="3:10" ht="36" x14ac:dyDescent="0.55000000000000004">
      <c r="C10" s="3">
        <v>4</v>
      </c>
      <c r="D10" s="101" t="s">
        <v>139</v>
      </c>
      <c r="E10" s="102" t="s">
        <v>144</v>
      </c>
      <c r="F10" s="4"/>
      <c r="G10" s="4"/>
      <c r="H10" s="4"/>
      <c r="I10" s="4"/>
      <c r="J10" s="4"/>
    </row>
    <row r="11" spans="3:10" x14ac:dyDescent="0.55000000000000004">
      <c r="C11" s="3">
        <v>5</v>
      </c>
      <c r="D11" s="101" t="s">
        <v>140</v>
      </c>
      <c r="E11" s="102" t="s">
        <v>143</v>
      </c>
      <c r="F11" s="4"/>
      <c r="G11" s="4"/>
      <c r="H11" s="4"/>
      <c r="I11" s="4"/>
      <c r="J11" s="4"/>
    </row>
    <row r="12" spans="3:10" x14ac:dyDescent="0.55000000000000004">
      <c r="C12" s="3">
        <v>6</v>
      </c>
      <c r="D12" s="102" t="s">
        <v>153</v>
      </c>
      <c r="E12" s="101" t="s">
        <v>133</v>
      </c>
      <c r="F12" s="4"/>
      <c r="G12" s="4"/>
      <c r="H12" s="4"/>
      <c r="I12" s="4"/>
      <c r="J12" s="4"/>
    </row>
    <row r="13" spans="3:10" x14ac:dyDescent="0.55000000000000004">
      <c r="C13" s="4"/>
      <c r="D13" s="118" t="s">
        <v>158</v>
      </c>
      <c r="E13" s="101"/>
      <c r="F13" s="4"/>
      <c r="G13" s="4"/>
      <c r="H13" s="4"/>
      <c r="I13" s="4"/>
      <c r="J13" s="4"/>
    </row>
  </sheetData>
  <mergeCells count="3">
    <mergeCell ref="C2:J2"/>
    <mergeCell ref="C3:D3"/>
    <mergeCell ref="C4:D4"/>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1CF7-CE5F-4711-B94A-7F39A9063B7B}">
  <dimension ref="C2:J13"/>
  <sheetViews>
    <sheetView topLeftCell="B4" workbookViewId="0">
      <selection activeCell="D13" sqref="D13"/>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9" t="s">
        <v>114</v>
      </c>
      <c r="D3" s="110"/>
      <c r="E3" s="97" t="s">
        <v>4</v>
      </c>
      <c r="F3" s="98"/>
      <c r="G3" s="98"/>
      <c r="H3" s="98"/>
      <c r="I3" s="98"/>
      <c r="J3" s="99"/>
    </row>
    <row r="4" spans="3:10" x14ac:dyDescent="0.55000000000000004">
      <c r="C4" s="109" t="s">
        <v>115</v>
      </c>
      <c r="D4" s="110"/>
      <c r="E4" s="97" t="s">
        <v>125</v>
      </c>
      <c r="F4" s="98"/>
      <c r="G4" s="98"/>
      <c r="H4" s="98"/>
      <c r="I4" s="98"/>
      <c r="J4" s="99"/>
    </row>
    <row r="5" spans="3:10" x14ac:dyDescent="0.55000000000000004">
      <c r="C5" s="111" t="s">
        <v>113</v>
      </c>
      <c r="D5" s="112"/>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ht="36" x14ac:dyDescent="0.55000000000000004">
      <c r="C7" s="3">
        <v>1</v>
      </c>
      <c r="D7" s="100" t="s">
        <v>134</v>
      </c>
      <c r="E7" s="101" t="s">
        <v>138</v>
      </c>
      <c r="F7" s="4"/>
      <c r="G7" s="4"/>
      <c r="H7" s="4"/>
      <c r="I7" s="4"/>
      <c r="J7" s="4"/>
    </row>
    <row r="8" spans="3:10" x14ac:dyDescent="0.55000000000000004">
      <c r="C8" s="3">
        <v>2</v>
      </c>
      <c r="D8" s="4" t="s">
        <v>141</v>
      </c>
      <c r="E8" s="101" t="s">
        <v>133</v>
      </c>
      <c r="F8" s="4"/>
      <c r="G8" s="4"/>
      <c r="H8" s="4"/>
      <c r="I8" s="4"/>
      <c r="J8" s="4"/>
    </row>
    <row r="9" spans="3:10" x14ac:dyDescent="0.55000000000000004">
      <c r="C9" s="3">
        <v>3</v>
      </c>
      <c r="D9" s="100" t="s">
        <v>152</v>
      </c>
      <c r="E9" s="101" t="s">
        <v>133</v>
      </c>
      <c r="F9" s="4"/>
      <c r="G9" s="4"/>
      <c r="H9" s="4"/>
      <c r="I9" s="4"/>
      <c r="J9" s="4"/>
    </row>
    <row r="10" spans="3:10" ht="36" x14ac:dyDescent="0.55000000000000004">
      <c r="C10" s="3">
        <v>4</v>
      </c>
      <c r="D10" s="4" t="s">
        <v>139</v>
      </c>
      <c r="E10" s="102" t="s">
        <v>144</v>
      </c>
      <c r="F10" s="4"/>
      <c r="G10" s="4"/>
      <c r="H10" s="4"/>
      <c r="I10" s="4"/>
      <c r="J10" s="4"/>
    </row>
    <row r="11" spans="3:10" x14ac:dyDescent="0.55000000000000004">
      <c r="C11" s="3">
        <v>5</v>
      </c>
      <c r="D11" s="4" t="s">
        <v>140</v>
      </c>
      <c r="E11" s="102" t="s">
        <v>143</v>
      </c>
      <c r="F11" s="4"/>
      <c r="G11" s="4"/>
      <c r="H11" s="4"/>
      <c r="I11" s="4"/>
      <c r="J11" s="4"/>
    </row>
    <row r="12" spans="3:10" x14ac:dyDescent="0.55000000000000004">
      <c r="C12" s="3">
        <v>6</v>
      </c>
      <c r="D12" s="102" t="s">
        <v>154</v>
      </c>
      <c r="E12" s="101" t="s">
        <v>133</v>
      </c>
      <c r="F12" s="4"/>
      <c r="G12" s="4"/>
      <c r="H12" s="4"/>
      <c r="I12" s="4"/>
      <c r="J12" s="4"/>
    </row>
    <row r="13" spans="3:10" x14ac:dyDescent="0.55000000000000004">
      <c r="C13" s="3"/>
      <c r="D13" s="118" t="s">
        <v>158</v>
      </c>
      <c r="E13" s="4"/>
      <c r="F13" s="4"/>
      <c r="G13" s="4"/>
      <c r="H13" s="4"/>
      <c r="I13" s="4"/>
      <c r="J13" s="4"/>
    </row>
  </sheetData>
  <mergeCells count="3">
    <mergeCell ref="C2:J2"/>
    <mergeCell ref="C3:D3"/>
    <mergeCell ref="C4:D4"/>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94CAB-927F-4442-A33C-A457A4FE1E26}">
  <dimension ref="C2:J13"/>
  <sheetViews>
    <sheetView topLeftCell="B1" workbookViewId="0">
      <selection activeCell="D10" sqref="D10"/>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3" t="s">
        <v>114</v>
      </c>
      <c r="D3" s="105"/>
      <c r="E3" s="97" t="s">
        <v>5</v>
      </c>
      <c r="F3" s="98"/>
      <c r="G3" s="98"/>
      <c r="H3" s="98"/>
      <c r="I3" s="98"/>
      <c r="J3" s="99"/>
    </row>
    <row r="4" spans="3:10" x14ac:dyDescent="0.55000000000000004">
      <c r="C4" s="103" t="s">
        <v>115</v>
      </c>
      <c r="D4" s="105"/>
      <c r="E4" s="97" t="s">
        <v>126</v>
      </c>
      <c r="F4" s="98"/>
      <c r="G4" s="98"/>
      <c r="H4" s="98"/>
      <c r="I4" s="98"/>
      <c r="J4" s="99"/>
    </row>
    <row r="5" spans="3:10" x14ac:dyDescent="0.55000000000000004">
      <c r="C5" s="106" t="s">
        <v>113</v>
      </c>
      <c r="D5" s="107"/>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x14ac:dyDescent="0.55000000000000004">
      <c r="C7" s="3">
        <v>1</v>
      </c>
      <c r="D7" s="102" t="s">
        <v>135</v>
      </c>
      <c r="E7" s="102" t="s">
        <v>138</v>
      </c>
      <c r="F7" s="4"/>
      <c r="G7" s="4"/>
      <c r="H7" s="4"/>
      <c r="I7" s="4"/>
      <c r="J7" s="4"/>
    </row>
    <row r="8" spans="3:10" ht="36" x14ac:dyDescent="0.55000000000000004">
      <c r="C8" s="3">
        <v>2</v>
      </c>
      <c r="D8" s="4" t="s">
        <v>139</v>
      </c>
      <c r="E8" s="102" t="s">
        <v>155</v>
      </c>
      <c r="F8" s="4"/>
      <c r="G8" s="4"/>
      <c r="H8" s="4"/>
      <c r="I8" s="4"/>
      <c r="J8" s="4"/>
    </row>
    <row r="9" spans="3:10" x14ac:dyDescent="0.55000000000000004">
      <c r="C9" s="3">
        <v>3</v>
      </c>
      <c r="D9" s="4" t="s">
        <v>140</v>
      </c>
      <c r="E9" s="102" t="s">
        <v>143</v>
      </c>
      <c r="F9" s="4"/>
      <c r="G9" s="4"/>
      <c r="H9" s="4"/>
      <c r="I9" s="4"/>
      <c r="J9" s="4"/>
    </row>
    <row r="10" spans="3:10" x14ac:dyDescent="0.55000000000000004">
      <c r="C10" s="3"/>
      <c r="D10" s="118" t="s">
        <v>158</v>
      </c>
      <c r="E10" s="4"/>
      <c r="F10" s="4"/>
      <c r="G10" s="4"/>
      <c r="H10" s="4"/>
      <c r="I10" s="4"/>
      <c r="J10" s="4"/>
    </row>
    <row r="11" spans="3:10" x14ac:dyDescent="0.55000000000000004">
      <c r="C11" s="3"/>
      <c r="D11" s="4"/>
      <c r="E11" s="4"/>
      <c r="F11" s="4"/>
      <c r="G11" s="4"/>
      <c r="H11" s="4"/>
      <c r="I11" s="4"/>
      <c r="J11" s="4"/>
    </row>
    <row r="12" spans="3:10" x14ac:dyDescent="0.55000000000000004">
      <c r="C12" s="3"/>
      <c r="D12" s="4"/>
      <c r="E12" s="4"/>
      <c r="F12" s="4"/>
      <c r="G12" s="4"/>
      <c r="H12" s="4"/>
      <c r="I12" s="4"/>
      <c r="J12" s="4"/>
    </row>
    <row r="13" spans="3:10" x14ac:dyDescent="0.55000000000000004">
      <c r="C13" s="3"/>
      <c r="D13" s="4"/>
      <c r="E13" s="4"/>
      <c r="F13" s="4"/>
      <c r="G13" s="4"/>
      <c r="H13" s="4"/>
      <c r="I13" s="4"/>
      <c r="J13" s="4"/>
    </row>
  </sheetData>
  <mergeCells count="3">
    <mergeCell ref="C2:J2"/>
    <mergeCell ref="C3:D3"/>
    <mergeCell ref="C4:D4"/>
  </mergeCells>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534B-4F1B-47C9-BA12-E75136B95581}">
  <dimension ref="C2:J14"/>
  <sheetViews>
    <sheetView topLeftCell="B1" workbookViewId="0">
      <selection activeCell="D9" sqref="D9"/>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9" t="s">
        <v>114</v>
      </c>
      <c r="D3" s="110"/>
      <c r="E3" s="97" t="s">
        <v>2</v>
      </c>
      <c r="F3" s="98"/>
      <c r="G3" s="98"/>
      <c r="H3" s="98"/>
      <c r="I3" s="98"/>
      <c r="J3" s="99"/>
    </row>
    <row r="4" spans="3:10" x14ac:dyDescent="0.55000000000000004">
      <c r="C4" s="109" t="s">
        <v>115</v>
      </c>
      <c r="D4" s="110"/>
      <c r="E4" s="97" t="s">
        <v>148</v>
      </c>
      <c r="F4" s="98"/>
      <c r="G4" s="98"/>
      <c r="H4" s="98"/>
      <c r="I4" s="98"/>
      <c r="J4" s="99"/>
    </row>
    <row r="5" spans="3:10" x14ac:dyDescent="0.55000000000000004">
      <c r="C5" s="106" t="s">
        <v>113</v>
      </c>
      <c r="D5" s="98"/>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ht="36" x14ac:dyDescent="0.55000000000000004">
      <c r="C7" s="3">
        <v>1</v>
      </c>
      <c r="D7" s="102" t="s">
        <v>127</v>
      </c>
      <c r="E7" s="102" t="s">
        <v>149</v>
      </c>
      <c r="F7" s="4"/>
      <c r="G7" s="4"/>
      <c r="H7" s="4"/>
      <c r="I7" s="4"/>
      <c r="J7" s="4"/>
    </row>
    <row r="8" spans="3:10" x14ac:dyDescent="0.55000000000000004">
      <c r="C8" s="3">
        <v>2</v>
      </c>
      <c r="D8" s="4"/>
      <c r="E8" s="4"/>
      <c r="F8" s="4"/>
      <c r="G8" s="4"/>
      <c r="H8" s="4"/>
      <c r="I8" s="4"/>
      <c r="J8" s="4"/>
    </row>
    <row r="9" spans="3:10" x14ac:dyDescent="0.55000000000000004">
      <c r="C9" s="3"/>
      <c r="D9" s="118" t="s">
        <v>158</v>
      </c>
      <c r="E9" s="4"/>
      <c r="F9" s="4"/>
      <c r="G9" s="4"/>
      <c r="H9" s="4"/>
      <c r="I9" s="4"/>
      <c r="J9" s="4"/>
    </row>
    <row r="10" spans="3:10" x14ac:dyDescent="0.55000000000000004">
      <c r="C10" s="3"/>
      <c r="D10" s="4"/>
      <c r="E10" s="4"/>
      <c r="F10" s="4"/>
      <c r="G10" s="4"/>
      <c r="H10" s="4"/>
      <c r="I10" s="4"/>
      <c r="J10" s="4"/>
    </row>
    <row r="11" spans="3:10" x14ac:dyDescent="0.55000000000000004">
      <c r="C11" s="3"/>
      <c r="D11" s="4"/>
      <c r="E11" s="4"/>
      <c r="F11" s="4"/>
      <c r="G11" s="4"/>
      <c r="H11" s="4"/>
      <c r="I11" s="4"/>
      <c r="J11" s="4"/>
    </row>
    <row r="12" spans="3:10" x14ac:dyDescent="0.55000000000000004">
      <c r="C12" s="3"/>
      <c r="D12" s="4"/>
      <c r="E12" s="4"/>
      <c r="F12" s="4"/>
      <c r="G12" s="4"/>
      <c r="H12" s="4"/>
      <c r="I12" s="4"/>
      <c r="J12" s="4"/>
    </row>
    <row r="13" spans="3:10" x14ac:dyDescent="0.55000000000000004">
      <c r="C13" s="3"/>
      <c r="D13" s="4"/>
      <c r="E13" s="4"/>
      <c r="F13" s="4"/>
      <c r="G13" s="4"/>
      <c r="H13" s="4"/>
      <c r="I13" s="4"/>
      <c r="J13" s="4"/>
    </row>
    <row r="14" spans="3:10" x14ac:dyDescent="0.55000000000000004">
      <c r="C14" s="1"/>
    </row>
  </sheetData>
  <mergeCells count="3">
    <mergeCell ref="C2:J2"/>
    <mergeCell ref="C3:D3"/>
    <mergeCell ref="C4:D4"/>
  </mergeCells>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37D4F-14B8-4652-94B2-067FBD8563A5}">
  <dimension ref="C2:J13"/>
  <sheetViews>
    <sheetView topLeftCell="B1" workbookViewId="0">
      <selection activeCell="D13" sqref="D13"/>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9" t="s">
        <v>114</v>
      </c>
      <c r="D3" s="110"/>
      <c r="E3" s="97" t="s">
        <v>3</v>
      </c>
      <c r="F3" s="98"/>
      <c r="G3" s="98"/>
      <c r="H3" s="98"/>
      <c r="I3" s="98"/>
      <c r="J3" s="99"/>
    </row>
    <row r="4" spans="3:10" x14ac:dyDescent="0.55000000000000004">
      <c r="C4" s="109" t="s">
        <v>115</v>
      </c>
      <c r="D4" s="110"/>
      <c r="E4" s="97"/>
      <c r="F4" s="98"/>
      <c r="G4" s="98"/>
      <c r="H4" s="98"/>
      <c r="I4" s="98"/>
      <c r="J4" s="99"/>
    </row>
    <row r="5" spans="3:10" x14ac:dyDescent="0.55000000000000004">
      <c r="C5" s="111" t="s">
        <v>113</v>
      </c>
      <c r="D5" s="112"/>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x14ac:dyDescent="0.55000000000000004">
      <c r="C7" s="3">
        <v>1</v>
      </c>
      <c r="D7" s="102" t="s">
        <v>128</v>
      </c>
      <c r="E7" s="102" t="s">
        <v>138</v>
      </c>
      <c r="F7" s="4"/>
      <c r="G7" s="4"/>
      <c r="H7" s="4"/>
      <c r="I7" s="4"/>
      <c r="J7" s="4"/>
    </row>
    <row r="8" spans="3:10" x14ac:dyDescent="0.55000000000000004">
      <c r="C8" s="3">
        <v>2</v>
      </c>
      <c r="D8" s="4" t="s">
        <v>136</v>
      </c>
      <c r="E8" s="4" t="s">
        <v>133</v>
      </c>
      <c r="F8" s="4"/>
      <c r="G8" s="4"/>
      <c r="H8" s="4"/>
      <c r="I8" s="4"/>
      <c r="J8" s="4"/>
    </row>
    <row r="9" spans="3:10" x14ac:dyDescent="0.55000000000000004">
      <c r="C9" s="3">
        <v>3</v>
      </c>
      <c r="D9" s="4" t="s">
        <v>137</v>
      </c>
      <c r="E9" s="4" t="s">
        <v>133</v>
      </c>
      <c r="F9" s="4"/>
      <c r="G9" s="4"/>
      <c r="H9" s="4"/>
      <c r="I9" s="4"/>
      <c r="J9" s="4"/>
    </row>
    <row r="10" spans="3:10" ht="36" x14ac:dyDescent="0.55000000000000004">
      <c r="C10" s="3">
        <v>4</v>
      </c>
      <c r="D10" s="4" t="s">
        <v>139</v>
      </c>
      <c r="E10" s="102" t="s">
        <v>150</v>
      </c>
      <c r="F10" s="4"/>
      <c r="G10" s="4"/>
      <c r="H10" s="4"/>
      <c r="I10" s="4"/>
      <c r="J10" s="4"/>
    </row>
    <row r="11" spans="3:10" x14ac:dyDescent="0.55000000000000004">
      <c r="C11" s="3">
        <v>5</v>
      </c>
      <c r="D11" s="4" t="s">
        <v>140</v>
      </c>
      <c r="E11" s="102" t="s">
        <v>143</v>
      </c>
      <c r="F11" s="4"/>
      <c r="G11" s="4"/>
      <c r="H11" s="4"/>
      <c r="I11" s="4"/>
      <c r="J11" s="4"/>
    </row>
    <row r="12" spans="3:10" x14ac:dyDescent="0.55000000000000004">
      <c r="C12" s="3">
        <v>6</v>
      </c>
      <c r="D12" s="102" t="s">
        <v>147</v>
      </c>
      <c r="E12" s="101" t="s">
        <v>133</v>
      </c>
      <c r="F12" s="4"/>
      <c r="G12" s="4"/>
      <c r="H12" s="4"/>
      <c r="I12" s="4"/>
      <c r="J12" s="4"/>
    </row>
    <row r="13" spans="3:10" x14ac:dyDescent="0.55000000000000004">
      <c r="C13" s="3"/>
      <c r="D13" s="118" t="s">
        <v>158</v>
      </c>
      <c r="E13" s="4"/>
      <c r="F13" s="4"/>
      <c r="G13" s="4"/>
      <c r="H13" s="4"/>
      <c r="I13" s="4"/>
      <c r="J13" s="4"/>
    </row>
  </sheetData>
  <mergeCells count="3">
    <mergeCell ref="C2:J2"/>
    <mergeCell ref="C3:D3"/>
    <mergeCell ref="C4:D4"/>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156D7-4E67-4DB4-944B-63D8D4573597}">
  <dimension ref="C2:J13"/>
  <sheetViews>
    <sheetView topLeftCell="B1" workbookViewId="0">
      <selection activeCell="D13" sqref="D13"/>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9" t="s">
        <v>114</v>
      </c>
      <c r="D3" s="110"/>
      <c r="E3" s="97" t="s">
        <v>129</v>
      </c>
      <c r="F3" s="98"/>
      <c r="G3" s="98"/>
      <c r="H3" s="98"/>
      <c r="I3" s="98"/>
      <c r="J3" s="99"/>
    </row>
    <row r="4" spans="3:10" x14ac:dyDescent="0.55000000000000004">
      <c r="C4" s="109" t="s">
        <v>115</v>
      </c>
      <c r="D4" s="110"/>
      <c r="E4" s="97" t="s">
        <v>124</v>
      </c>
      <c r="F4" s="98"/>
      <c r="G4" s="98"/>
      <c r="H4" s="98"/>
      <c r="I4" s="98"/>
      <c r="J4" s="99"/>
    </row>
    <row r="5" spans="3:10" x14ac:dyDescent="0.55000000000000004">
      <c r="C5" s="111" t="s">
        <v>113</v>
      </c>
      <c r="D5" s="112"/>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x14ac:dyDescent="0.55000000000000004">
      <c r="C7" s="3">
        <v>1</v>
      </c>
      <c r="D7" s="102" t="s">
        <v>130</v>
      </c>
      <c r="E7" s="102" t="s">
        <v>138</v>
      </c>
      <c r="F7" s="4"/>
      <c r="G7" s="4"/>
      <c r="H7" s="4"/>
      <c r="I7" s="4"/>
      <c r="J7" s="4"/>
    </row>
    <row r="8" spans="3:10" x14ac:dyDescent="0.55000000000000004">
      <c r="C8" s="3">
        <v>2</v>
      </c>
      <c r="D8" s="4" t="s">
        <v>136</v>
      </c>
      <c r="E8" s="4" t="s">
        <v>133</v>
      </c>
      <c r="F8" s="4"/>
      <c r="G8" s="4"/>
      <c r="H8" s="4"/>
      <c r="I8" s="4"/>
      <c r="J8" s="4"/>
    </row>
    <row r="9" spans="3:10" x14ac:dyDescent="0.55000000000000004">
      <c r="C9" s="3">
        <v>3</v>
      </c>
      <c r="D9" s="4" t="s">
        <v>137</v>
      </c>
      <c r="E9" s="4" t="s">
        <v>133</v>
      </c>
      <c r="F9" s="4"/>
      <c r="G9" s="4"/>
      <c r="H9" s="4"/>
      <c r="I9" s="4"/>
      <c r="J9" s="4"/>
    </row>
    <row r="10" spans="3:10" ht="36" x14ac:dyDescent="0.55000000000000004">
      <c r="C10" s="3">
        <v>4</v>
      </c>
      <c r="D10" s="4" t="s">
        <v>139</v>
      </c>
      <c r="E10" s="102" t="s">
        <v>150</v>
      </c>
      <c r="F10" s="4"/>
      <c r="G10" s="4"/>
      <c r="H10" s="4"/>
      <c r="I10" s="4"/>
      <c r="J10" s="4"/>
    </row>
    <row r="11" spans="3:10" x14ac:dyDescent="0.55000000000000004">
      <c r="C11" s="3">
        <v>5</v>
      </c>
      <c r="D11" s="4" t="s">
        <v>140</v>
      </c>
      <c r="E11" s="102" t="s">
        <v>143</v>
      </c>
      <c r="F11" s="4"/>
      <c r="G11" s="4"/>
      <c r="H11" s="4"/>
      <c r="I11" s="4"/>
      <c r="J11" s="4"/>
    </row>
    <row r="12" spans="3:10" x14ac:dyDescent="0.55000000000000004">
      <c r="C12" s="3">
        <v>6</v>
      </c>
      <c r="D12" s="102" t="s">
        <v>147</v>
      </c>
      <c r="E12" s="101" t="s">
        <v>133</v>
      </c>
      <c r="F12" s="4"/>
      <c r="G12" s="4"/>
      <c r="H12" s="4"/>
      <c r="I12" s="4"/>
      <c r="J12" s="4"/>
    </row>
    <row r="13" spans="3:10" x14ac:dyDescent="0.55000000000000004">
      <c r="C13" s="3"/>
      <c r="D13" s="118" t="s">
        <v>158</v>
      </c>
      <c r="E13" s="4"/>
      <c r="F13" s="4"/>
      <c r="G13" s="4"/>
      <c r="H13" s="4"/>
      <c r="I13" s="4"/>
      <c r="J13" s="4"/>
    </row>
  </sheetData>
  <mergeCells count="3">
    <mergeCell ref="C2:J2"/>
    <mergeCell ref="C3:D3"/>
    <mergeCell ref="C4:D4"/>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8603E-0F67-49AD-9DD8-DCA454BEE772}">
  <dimension ref="C2:J13"/>
  <sheetViews>
    <sheetView tabSelected="1" topLeftCell="B1" workbookViewId="0">
      <selection activeCell="D11" sqref="D11"/>
    </sheetView>
  </sheetViews>
  <sheetFormatPr defaultRowHeight="18" x14ac:dyDescent="0.55000000000000004"/>
  <cols>
    <col min="3" max="3" width="7.83203125" customWidth="1"/>
    <col min="4" max="4" width="46.58203125" customWidth="1"/>
    <col min="5" max="5" width="44.6640625" customWidth="1"/>
  </cols>
  <sheetData>
    <row r="2" spans="3:10" x14ac:dyDescent="0.55000000000000004">
      <c r="C2" s="103" t="s">
        <v>113</v>
      </c>
      <c r="D2" s="104"/>
      <c r="E2" s="104"/>
      <c r="F2" s="104"/>
      <c r="G2" s="104"/>
      <c r="H2" s="104"/>
      <c r="I2" s="104"/>
      <c r="J2" s="105"/>
    </row>
    <row r="3" spans="3:10" x14ac:dyDescent="0.55000000000000004">
      <c r="C3" s="109" t="s">
        <v>114</v>
      </c>
      <c r="D3" s="110"/>
      <c r="E3" s="97" t="s">
        <v>6</v>
      </c>
      <c r="F3" s="98"/>
      <c r="G3" s="98"/>
      <c r="H3" s="98"/>
      <c r="I3" s="98"/>
      <c r="J3" s="99"/>
    </row>
    <row r="4" spans="3:10" x14ac:dyDescent="0.55000000000000004">
      <c r="C4" s="109" t="s">
        <v>115</v>
      </c>
      <c r="D4" s="110"/>
      <c r="E4" s="97" t="s">
        <v>131</v>
      </c>
      <c r="F4" s="98"/>
      <c r="G4" s="98"/>
      <c r="H4" s="98"/>
      <c r="I4" s="98"/>
      <c r="J4" s="99"/>
    </row>
    <row r="5" spans="3:10" x14ac:dyDescent="0.55000000000000004">
      <c r="C5" s="111" t="s">
        <v>113</v>
      </c>
      <c r="D5" s="112"/>
      <c r="E5" s="98"/>
      <c r="F5" s="98"/>
      <c r="G5" s="98"/>
      <c r="H5" s="98"/>
      <c r="I5" s="98"/>
      <c r="J5" s="99"/>
    </row>
    <row r="6" spans="3:10" x14ac:dyDescent="0.55000000000000004">
      <c r="C6" s="3" t="s">
        <v>62</v>
      </c>
      <c r="D6" s="3" t="s">
        <v>116</v>
      </c>
      <c r="E6" s="3" t="s">
        <v>117</v>
      </c>
      <c r="F6" s="3" t="s">
        <v>118</v>
      </c>
      <c r="G6" s="3" t="s">
        <v>119</v>
      </c>
      <c r="H6" s="3" t="s">
        <v>120</v>
      </c>
      <c r="I6" s="3" t="s">
        <v>121</v>
      </c>
      <c r="J6" s="3" t="s">
        <v>122</v>
      </c>
    </row>
    <row r="7" spans="3:10" x14ac:dyDescent="0.55000000000000004">
      <c r="C7" s="3">
        <v>1</v>
      </c>
      <c r="D7" s="102" t="s">
        <v>132</v>
      </c>
      <c r="E7" s="102" t="s">
        <v>138</v>
      </c>
      <c r="F7" s="4"/>
      <c r="G7" s="4"/>
      <c r="H7" s="4"/>
      <c r="I7" s="4"/>
      <c r="J7" s="4"/>
    </row>
    <row r="8" spans="3:10" ht="36" x14ac:dyDescent="0.55000000000000004">
      <c r="C8" s="3">
        <v>2</v>
      </c>
      <c r="D8" s="4" t="s">
        <v>139</v>
      </c>
      <c r="E8" s="102" t="s">
        <v>150</v>
      </c>
      <c r="F8" s="4"/>
      <c r="G8" s="4"/>
      <c r="H8" s="4"/>
      <c r="I8" s="4"/>
      <c r="J8" s="4"/>
    </row>
    <row r="9" spans="3:10" x14ac:dyDescent="0.55000000000000004">
      <c r="C9" s="3">
        <v>3</v>
      </c>
      <c r="D9" s="4" t="s">
        <v>140</v>
      </c>
      <c r="E9" s="102" t="s">
        <v>143</v>
      </c>
      <c r="F9" s="4"/>
      <c r="G9" s="4"/>
      <c r="H9" s="4"/>
      <c r="I9" s="4"/>
      <c r="J9" s="4"/>
    </row>
    <row r="10" spans="3:10" x14ac:dyDescent="0.55000000000000004">
      <c r="C10" s="3"/>
      <c r="D10" s="4"/>
      <c r="E10" s="4"/>
      <c r="F10" s="4"/>
      <c r="G10" s="4"/>
      <c r="H10" s="4"/>
      <c r="I10" s="4"/>
      <c r="J10" s="4"/>
    </row>
    <row r="11" spans="3:10" x14ac:dyDescent="0.55000000000000004">
      <c r="C11" s="3"/>
      <c r="D11" s="118" t="s">
        <v>158</v>
      </c>
      <c r="E11" s="4"/>
      <c r="F11" s="4"/>
      <c r="G11" s="4"/>
      <c r="H11" s="4"/>
      <c r="I11" s="4"/>
      <c r="J11" s="4"/>
    </row>
    <row r="12" spans="3:10" x14ac:dyDescent="0.55000000000000004">
      <c r="C12" s="3"/>
      <c r="D12" s="4"/>
      <c r="E12" s="4"/>
      <c r="F12" s="4"/>
      <c r="G12" s="4"/>
      <c r="H12" s="4"/>
      <c r="I12" s="4"/>
      <c r="J12" s="4"/>
    </row>
    <row r="13" spans="3:10" x14ac:dyDescent="0.55000000000000004">
      <c r="C13" s="3"/>
      <c r="D13" s="4"/>
      <c r="E13" s="4"/>
      <c r="F13" s="4"/>
      <c r="G13" s="4"/>
      <c r="H13" s="4"/>
      <c r="I13" s="4"/>
      <c r="J13" s="4"/>
    </row>
  </sheetData>
  <mergeCells count="3">
    <mergeCell ref="C2:J2"/>
    <mergeCell ref="C3:D3"/>
    <mergeCell ref="C4:D4"/>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4</vt:i4>
      </vt:variant>
    </vt:vector>
  </HeadingPairs>
  <TitlesOfParts>
    <vt:vector size="15" baseType="lpstr">
      <vt:lpstr>Sheet2</vt:lpstr>
      <vt:lpstr>Sheet3</vt:lpstr>
      <vt:lpstr>プロジェクトのスケジュール</vt:lpstr>
      <vt:lpstr>社員一覧</vt:lpstr>
      <vt:lpstr>社員登録</vt:lpstr>
      <vt:lpstr>社員更新</vt:lpstr>
      <vt:lpstr>社員削除</vt:lpstr>
      <vt:lpstr>部門一覧</vt:lpstr>
      <vt:lpstr>部門登録</vt:lpstr>
      <vt:lpstr>部門更新</vt:lpstr>
      <vt:lpstr>部門削除</vt:lpstr>
      <vt:lpstr>プロジェクトのスケジュール!Print_Titles</vt:lpstr>
      <vt:lpstr>プロジェクトのスケジュール!タスク_開始</vt:lpstr>
      <vt:lpstr>プロジェクトのスケジュール!タスク_終了</vt:lpstr>
      <vt:lpstr>週表示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opnewemp018</dc:creator>
  <cp:lastModifiedBy>opnewemp018</cp:lastModifiedBy>
  <dcterms:created xsi:type="dcterms:W3CDTF">2026-05-20T01:45:06Z</dcterms:created>
  <dcterms:modified xsi:type="dcterms:W3CDTF">2026-05-21T05:56:28Z</dcterms:modified>
</cp:coreProperties>
</file>